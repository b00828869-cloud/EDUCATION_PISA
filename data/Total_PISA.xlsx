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bapti1/Documents/EDUCATION/ESSEC DSBA/DATAVIZ/EDUCATION_PISA/data/"/>
    </mc:Choice>
  </mc:AlternateContent>
  <xr:revisionPtr revIDLastSave="0" documentId="13_ncr:1_{580F2FBE-6647-B042-A84B-93F2D19117DF}" xr6:coauthVersionLast="47" xr6:coauthVersionMax="47" xr10:uidLastSave="{00000000-0000-0000-0000-000000000000}"/>
  <bookViews>
    <workbookView xWindow="0" yWindow="500" windowWidth="28800" windowHeight="16600" xr2:uid="{283E240E-ED73-794B-9A40-325C19B87B0E}"/>
  </bookViews>
  <sheets>
    <sheet name="DATA" sheetId="2" r:id="rId1"/>
    <sheet name="Feuil2" sheetId="25" r:id="rId2"/>
    <sheet name="Infos" sheetId="17" r:id="rId3"/>
    <sheet name="NOMENCLATURE" sheetId="22" r:id="rId4"/>
    <sheet name="Feuil6" sheetId="23" r:id="rId5"/>
    <sheet name="&gt;GINI EXPORT" sheetId="21" r:id="rId6"/>
    <sheet name="Feuil3" sheetId="20" r:id="rId7"/>
    <sheet name="Feuil1" sheetId="24" r:id="rId8"/>
    <sheet name="Feuil4" sheetId="26" r:id="rId9"/>
  </sheets>
  <definedNames>
    <definedName name="_xlnm._FilterDatabase" localSheetId="5" hidden="1">'&gt;GINI EXPORT'!$A$1:$J$35</definedName>
    <definedName name="_xlnm._FilterDatabase" localSheetId="0" hidden="1">DATA!$A$1:$W$1</definedName>
    <definedName name="_xlnm._FilterDatabase" localSheetId="6" hidden="1">Feuil3!$A$1:$C$15</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4" i="2" l="1"/>
  <c r="Z25" i="2"/>
  <c r="Z26" i="2"/>
  <c r="Z27" i="2"/>
  <c r="Z28" i="2"/>
  <c r="Z29" i="2"/>
  <c r="Z30" i="2"/>
  <c r="Z31" i="2"/>
  <c r="Z32" i="2"/>
  <c r="Z33" i="2"/>
  <c r="Z34" i="2"/>
  <c r="Z35" i="2"/>
  <c r="Z36" i="2"/>
  <c r="Z37" i="2"/>
  <c r="Z38" i="2"/>
  <c r="Z39" i="2"/>
  <c r="Z3" i="2"/>
  <c r="Z4" i="2"/>
  <c r="Z5" i="2"/>
  <c r="Z6" i="2"/>
  <c r="Z7" i="2"/>
  <c r="Z8" i="2"/>
  <c r="Z9" i="2"/>
  <c r="Z10" i="2"/>
  <c r="Z11" i="2"/>
  <c r="Z12" i="2"/>
  <c r="Z13" i="2"/>
  <c r="Z14" i="2"/>
  <c r="Z15" i="2"/>
  <c r="Z16" i="2"/>
  <c r="Z17" i="2"/>
  <c r="Z18" i="2"/>
  <c r="Z19" i="2"/>
  <c r="Z20" i="2"/>
  <c r="Z21" i="2"/>
  <c r="Z22" i="2"/>
  <c r="Z23" i="2"/>
  <c r="C15" i="20"/>
  <c r="C5" i="20"/>
  <c r="C9" i="20"/>
  <c r="C8" i="20"/>
  <c r="C10" i="20"/>
  <c r="C11" i="20"/>
  <c r="C12" i="20"/>
  <c r="C14" i="20"/>
  <c r="C7" i="20"/>
  <c r="C4" i="20"/>
  <c r="C13" i="20"/>
  <c r="C2" i="20"/>
  <c r="C3" i="20"/>
  <c r="C6" i="20"/>
</calcChain>
</file>

<file path=xl/sharedStrings.xml><?xml version="1.0" encoding="utf-8"?>
<sst xmlns="http://schemas.openxmlformats.org/spreadsheetml/2006/main" count="4278" uniqueCount="556">
  <si>
    <t>Averages for age 15 years index for highest occupational status of parents (hisei) which corresponds to the higher international socio-economic index occupational status (isei) score of either parent or to the only available parent’s isei score. for additional details, see glossary in help guide., by All students [TOTAL] and jurisdiction: 2022, 2018, 2015, 2012, 2009, 2006, 2003, and 2000</t>
  </si>
  <si>
    <t>Year/Study</t>
  </si>
  <si>
    <t>Jurisdiction</t>
  </si>
  <si>
    <t>2022</t>
  </si>
  <si>
    <t>International Average (OECD)</t>
  </si>
  <si>
    <t>Australia</t>
  </si>
  <si>
    <t>Austria</t>
  </si>
  <si>
    <t>Belgium</t>
  </si>
  <si>
    <t>Canada</t>
  </si>
  <si>
    <t>Chile</t>
  </si>
  <si>
    <t>Colombia</t>
  </si>
  <si>
    <t>Costa Rica</t>
  </si>
  <si>
    <t>—</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</si>
  <si>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</si>
  <si>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</si>
  <si>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</si>
  <si>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</si>
  <si>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</si>
  <si>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</si>
  <si>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</si>
  <si>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</si>
  <si>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</si>
  <si>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</si>
  <si>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</si>
  <si>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</si>
  <si>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</si>
  <si>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</si>
  <si>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</si>
  <si>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</si>
  <si>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</si>
  <si>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</si>
  <si>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</si>
  <si>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</si>
  <si>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</si>
  <si>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</si>
  <si>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</si>
  <si>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</si>
  <si>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</si>
  <si>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</si>
  <si>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</si>
  <si>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</si>
  <si>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</si>
  <si>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</si>
  <si>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</si>
  <si>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2018</t>
  </si>
  <si>
    <t>2015</t>
  </si>
  <si>
    <t>2012</t>
  </si>
  <si>
    <t>2009</t>
  </si>
  <si>
    <t>2006</t>
  </si>
  <si>
    <t>2003</t>
  </si>
  <si>
    <t>2000</t>
  </si>
  <si>
    <t>Averages for age 15 years student's experience of being bullied (wle), by All students [TOTAL] and jurisdiction: 2022, 2018, 2015, 2012, 2009, 2006, 2003, and 2000</t>
  </si>
  <si>
    <t>Averages for age 15 years access to money and financial products, sources of money (wle), by All students [TOTAL] and jurisdiction: 2022, 2018, 2015, 2012, 2009, 2006, 2003, and 2000</t>
  </si>
  <si>
    <t>Averages for age 15 years index of parental/guardian current support for learning at home (wle). for more information, see glossary in help guide., by All students [TOTAL] and jurisdiction: 2022, 2018, 2015, 2012, 2009, 2006, 2003, and 2000</t>
  </si>
  <si>
    <t>Averages for age 15 years index teacher support in mathematics lessons was derived from students' reports on the frequency with which teachers support learning in mathematics class (teachsup). for additional details, see glossary in help guide., by All students [TOTAL] and jurisdiction: 2022, 2018, 2015, 2012, 2009, 2006, 2003, and 2000</t>
  </si>
  <si>
    <t>Averages for age 15 years in the last full week you were in school, how many [class periods] did you spend in [mathematics] [in total]?, by All students [TOTAL] and jurisdiction: 2022, 2018, 2015, 2012, 2009, 2006, 2003, and 2000</t>
  </si>
  <si>
    <t>Averages for age 15 years in the last full week you were in school, how many [class periods] did you spend in [science] [in total]?, by All students [TOTAL] and jurisdiction: 2022, 2018, 2015, 2012, 2009, 2006, 2003, and 2000</t>
  </si>
  <si>
    <t>Averages for age 15 years in the last full week you were in school, how many [class periods] did you spend in [test language]?, by All students [TOTAL] and jurisdiction: 2022, 2018, 2015, 2012, 2009, 2006, 2003, and 2000</t>
  </si>
  <si>
    <t>Averages for age 15 years at your school, what is the total number of students in the [national modal grade for 15-year-olds: 10th grade in U.S.]? for more information about national modal grade, see glossary in help guide., by All students [TOTAL] and jurisdiction: 2022, 2018, 2015, 2012, 2009, 2006, 2003, and 2000</t>
  </si>
  <si>
    <t>Averages for age 15 years student-teacher ratio. for more information, see glossary in help guide., by All students [TOTAL] and jurisdiction: 2022, 2018, 2015, 2012, 2009, 2006, 2003, and 2000</t>
  </si>
  <si>
    <t>Averages for age 15 years index proportion of all teachers fully certified. for more information, see glossary in help guide., by All students [TOTAL] and jurisdiction: 2022, 2018, 2015, 2012, 2009, 2006, 2003, and 2000</t>
  </si>
  <si>
    <t>Averages for age 15 years index of sense of belonging to school (wle). for more information, see glossary in help guide., by All students [TOTAL] and jurisdiction: 2022, 2018, 2015, 2012, 2009, 2006, 2003, and 2000</t>
  </si>
  <si>
    <t>Averages for age 15 years parent attitudes toward mathematics (wle), by All students [TOTAL] and jurisdiction: 2022, 2018, 2015, 2012, 2009, 2006, 2003, and 2000</t>
  </si>
  <si>
    <t>Averages for age 15 years the age of student in years computed from the students' date of birth., by All students [TOTAL] and jurisdiction: 2022, 2018, 2015, 2012, 2009, 2006, 2003, and 2000</t>
  </si>
  <si>
    <t>Averages for age 15 years index of economic, social and cultural status (2022), by All students [TOTAL] and jurisdiction: 2022, 2018, 2015, 2012, 2009, 2006, 2003, and 2000</t>
  </si>
  <si>
    <t>status of parents (hisei) Average</t>
  </si>
  <si>
    <t>experience of being bullied Average</t>
  </si>
  <si>
    <t>access to money Average</t>
  </si>
  <si>
    <t>current support for learning at home Average</t>
  </si>
  <si>
    <t xml:space="preserve"> index teacher support in mathematics lessons Average</t>
  </si>
  <si>
    <t>Class Period Mathematics Average</t>
  </si>
  <si>
    <t>Class Period Science Average</t>
  </si>
  <si>
    <t xml:space="preserve"> Class Periods Language Average</t>
  </si>
  <si>
    <t>number of students  Average</t>
  </si>
  <si>
    <t>student-teacher ratio Average</t>
  </si>
  <si>
    <t xml:space="preserve"> teachers fully certified Average</t>
  </si>
  <si>
    <t>sense of belonging to school  Average</t>
  </si>
  <si>
    <t>parent attitudes toward mathematics Average</t>
  </si>
  <si>
    <t>Mathematics scale Average</t>
  </si>
  <si>
    <t>science scale Average</t>
  </si>
  <si>
    <t>reading scale Average</t>
  </si>
  <si>
    <t>economic. social and cultural status Average</t>
  </si>
  <si>
    <t>Étiquettes de lignes</t>
  </si>
  <si>
    <t>Total général</t>
  </si>
  <si>
    <t>Somme de Mathematics scale Average</t>
  </si>
  <si>
    <t>Somme de science scale Average</t>
  </si>
  <si>
    <t>Somme de reading scale Average</t>
  </si>
  <si>
    <t>FEATURES</t>
  </si>
  <si>
    <t>CORRELATION</t>
  </si>
  <si>
    <t>ABS CORR</t>
  </si>
  <si>
    <t>Country Name</t>
  </si>
  <si>
    <t>Australie</t>
  </si>
  <si>
    <t>Autriche</t>
  </si>
  <si>
    <t>Belgique</t>
  </si>
  <si>
    <t>Suisse</t>
  </si>
  <si>
    <t>Chili</t>
  </si>
  <si>
    <t>République tchèque</t>
  </si>
  <si>
    <t>Allemagne</t>
  </si>
  <si>
    <t>Danemark</t>
  </si>
  <si>
    <t>Espagne</t>
  </si>
  <si>
    <t>Estonie</t>
  </si>
  <si>
    <t>Finlande</t>
  </si>
  <si>
    <t>Royaume-Uni</t>
  </si>
  <si>
    <t>Grèce</t>
  </si>
  <si>
    <t>Hongrie</t>
  </si>
  <si>
    <t>Irlande</t>
  </si>
  <si>
    <t>Islande</t>
  </si>
  <si>
    <t>Israël</t>
  </si>
  <si>
    <t>Italie</t>
  </si>
  <si>
    <t>Japon</t>
  </si>
  <si>
    <t>Lituanie</t>
  </si>
  <si>
    <t>Lettonie</t>
  </si>
  <si>
    <t>Mexique</t>
  </si>
  <si>
    <t>Pays-Bas</t>
  </si>
  <si>
    <t>Norvège</t>
  </si>
  <si>
    <t>Nouvelle-Zélande</t>
  </si>
  <si>
    <t>Pologne</t>
  </si>
  <si>
    <t>Slovénie</t>
  </si>
  <si>
    <t>Suède</t>
  </si>
  <si>
    <t>Turquie</t>
  </si>
  <si>
    <t>États-Unis</t>
  </si>
  <si>
    <t>Slovaquie</t>
  </si>
  <si>
    <t>Corée</t>
  </si>
  <si>
    <t>JURIDICTION</t>
  </si>
  <si>
    <t>GINI INDICATOR</t>
  </si>
  <si>
    <t>-</t>
  </si>
  <si>
    <t>Somme de GINI INDICATOR</t>
  </si>
  <si>
    <t>Europe</t>
  </si>
  <si>
    <t>North America</t>
  </si>
  <si>
    <t>Asia</t>
  </si>
  <si>
    <t>Oceania</t>
  </si>
  <si>
    <t>South America</t>
  </si>
  <si>
    <t>Middle East</t>
  </si>
  <si>
    <t>Country</t>
  </si>
  <si>
    <t>Country2</t>
  </si>
  <si>
    <t>Region</t>
  </si>
  <si>
    <t>region</t>
  </si>
  <si>
    <t>Colombie</t>
  </si>
  <si>
    <t>8,7022377807454</t>
  </si>
  <si>
    <t>Gender gap (boys - girls)</t>
  </si>
  <si>
    <t/>
  </si>
  <si>
    <t>Peru</t>
  </si>
  <si>
    <t>United States*</t>
  </si>
  <si>
    <t>Guatemala</t>
  </si>
  <si>
    <t>Singapore</t>
  </si>
  <si>
    <t>Paraguay</t>
  </si>
  <si>
    <t>Argentina</t>
  </si>
  <si>
    <t>Serbia</t>
  </si>
  <si>
    <t>Uruguay</t>
  </si>
  <si>
    <t>Viet Nam</t>
  </si>
  <si>
    <t>OECD average</t>
  </si>
  <si>
    <t>Brazil</t>
  </si>
  <si>
    <t>Croatia</t>
  </si>
  <si>
    <t>El Salvador</t>
  </si>
  <si>
    <t>Uzbekistan</t>
  </si>
  <si>
    <t>Romania</t>
  </si>
  <si>
    <t>Moldova</t>
  </si>
  <si>
    <t>Saudi Arabia</t>
  </si>
  <si>
    <t>Malta</t>
  </si>
  <si>
    <t>Kazakhstan</t>
  </si>
  <si>
    <t>Montenegro</t>
  </si>
  <si>
    <t>Morocco</t>
  </si>
  <si>
    <t>Cambodia</t>
  </si>
  <si>
    <t>Dominican Republic</t>
  </si>
  <si>
    <t>Georgia</t>
  </si>
  <si>
    <t>Mongolia</t>
  </si>
  <si>
    <t>Bulgaria</t>
  </si>
  <si>
    <t>Thailand</t>
  </si>
  <si>
    <t>North Macedonia</t>
  </si>
  <si>
    <t>Indonesia</t>
  </si>
  <si>
    <t>United Arab Emirates</t>
  </si>
  <si>
    <t>Qatar</t>
  </si>
  <si>
    <t>Malaysia</t>
  </si>
  <si>
    <t>Brunei Darussalam</t>
  </si>
  <si>
    <t>Jamaica*</t>
  </si>
  <si>
    <t>Philippines</t>
  </si>
  <si>
    <t>Jordan</t>
  </si>
  <si>
    <t>Albania</t>
  </si>
  <si>
    <t>Macao (China)</t>
  </si>
  <si>
    <t>Ukrainian regions (18 of 27)</t>
  </si>
  <si>
    <t>Hong Kong (China)*</t>
  </si>
  <si>
    <t>Chinese Taipei</t>
  </si>
  <si>
    <t>Kosovo</t>
  </si>
  <si>
    <t>Baku (Azerbaijan)</t>
  </si>
  <si>
    <t>Palestinian Authority</t>
  </si>
  <si>
    <t>Panama</t>
  </si>
  <si>
    <t>Gender gap (boys - girls) Mathematics</t>
  </si>
  <si>
    <t>Maths</t>
  </si>
  <si>
    <t>Readings</t>
  </si>
  <si>
    <t>Jamaica</t>
  </si>
  <si>
    <t>Gender gap (boys - girls) Readings</t>
  </si>
  <si>
    <t>Cyprus</t>
  </si>
  <si>
    <t>GDP</t>
  </si>
  <si>
    <t>Hong Kong (China)</t>
  </si>
  <si>
    <t>Mathematics performance</t>
  </si>
  <si>
    <t>Expenditure</t>
  </si>
  <si>
    <t>spending on education</t>
  </si>
  <si>
    <t>Somme de access to money Average</t>
  </si>
  <si>
    <t>Somme de status of parents (hisei) Average</t>
  </si>
  <si>
    <t>ISO</t>
  </si>
  <si>
    <t>Duration of FULL and PARTIAL school closures (in weeks)</t>
  </si>
  <si>
    <t>Duration of FULL closures (in weeks)</t>
  </si>
  <si>
    <t>Duration of PARTIAL closures (in weeks)</t>
  </si>
  <si>
    <t>Duration of FULL closures from Mar-Aug 20 (in weeks)</t>
  </si>
  <si>
    <t>Duration of FULL closures from Sep 20 - Aug 21 (in weeks)</t>
  </si>
  <si>
    <t>Duration of FULL closures from Sep 21 - Oct 21 (in weeks)</t>
  </si>
  <si>
    <t>Duration of PARTIAL closures from Mar-Aug 20 (in weeks)</t>
  </si>
  <si>
    <t>Duration of PARTIAL closures from Sep 20 - Aug 21 (in weeks)</t>
  </si>
  <si>
    <t>Duration of PARTIAL closures from Sep 21 - Oct 21 (in weeks)</t>
  </si>
  <si>
    <t>Afghanistan</t>
  </si>
  <si>
    <t>AFG</t>
  </si>
  <si>
    <t>ALB</t>
  </si>
  <si>
    <t>Algeria</t>
  </si>
  <si>
    <t>DZA</t>
  </si>
  <si>
    <t>Andorra</t>
  </si>
  <si>
    <t>AND</t>
  </si>
  <si>
    <t>Angola</t>
  </si>
  <si>
    <t>AGO</t>
  </si>
  <si>
    <t>Anguilla</t>
  </si>
  <si>
    <t>AIA</t>
  </si>
  <si>
    <t>Antigua and Barbuda</t>
  </si>
  <si>
    <t>ATG</t>
  </si>
  <si>
    <t>ARG</t>
  </si>
  <si>
    <t>Armenia</t>
  </si>
  <si>
    <t>ARM</t>
  </si>
  <si>
    <t>Aruba</t>
  </si>
  <si>
    <t>ABW</t>
  </si>
  <si>
    <t>AUS</t>
  </si>
  <si>
    <t>AUT</t>
  </si>
  <si>
    <t>Azerbaijan</t>
  </si>
  <si>
    <t>AZE</t>
  </si>
  <si>
    <t>Bahamas</t>
  </si>
  <si>
    <t>BHS</t>
  </si>
  <si>
    <t>Bahrain</t>
  </si>
  <si>
    <t>BHR</t>
  </si>
  <si>
    <t>Bangladesh</t>
  </si>
  <si>
    <t>BGD</t>
  </si>
  <si>
    <t>Barbados</t>
  </si>
  <si>
    <t>BRB</t>
  </si>
  <si>
    <t>Belarus</t>
  </si>
  <si>
    <t>BLR</t>
  </si>
  <si>
    <t>BEL</t>
  </si>
  <si>
    <t>Belize</t>
  </si>
  <si>
    <t>BLZ</t>
  </si>
  <si>
    <t>Benin</t>
  </si>
  <si>
    <t>BEN</t>
  </si>
  <si>
    <t>Bermuda</t>
  </si>
  <si>
    <t>BMU</t>
  </si>
  <si>
    <t>Bhutan</t>
  </si>
  <si>
    <t>BTN</t>
  </si>
  <si>
    <t>Bolivia (Plurinational State of)</t>
  </si>
  <si>
    <t>BOL</t>
  </si>
  <si>
    <t>Bosnia and Herzegovina</t>
  </si>
  <si>
    <t>BIH</t>
  </si>
  <si>
    <t>Botswana</t>
  </si>
  <si>
    <t>BWA</t>
  </si>
  <si>
    <t>BRA</t>
  </si>
  <si>
    <t>British Virgin Islands</t>
  </si>
  <si>
    <t>VGB</t>
  </si>
  <si>
    <t>BRN</t>
  </si>
  <si>
    <t>BGR</t>
  </si>
  <si>
    <t>Burkina Faso</t>
  </si>
  <si>
    <t>BFA</t>
  </si>
  <si>
    <t>Burundi</t>
  </si>
  <si>
    <t>BDI</t>
  </si>
  <si>
    <t>Cabo Verde</t>
  </si>
  <si>
    <t>CPV</t>
  </si>
  <si>
    <t>KHM</t>
  </si>
  <si>
    <t>Cameroon</t>
  </si>
  <si>
    <t>CMR</t>
  </si>
  <si>
    <t>CAN</t>
  </si>
  <si>
    <t>Cayman Islands</t>
  </si>
  <si>
    <t>CYM</t>
  </si>
  <si>
    <t>Central African republic</t>
  </si>
  <si>
    <t>CAF</t>
  </si>
  <si>
    <t>Chad</t>
  </si>
  <si>
    <t>TCD</t>
  </si>
  <si>
    <t>CHL</t>
  </si>
  <si>
    <t>China</t>
  </si>
  <si>
    <t>CHN</t>
  </si>
  <si>
    <t>COL</t>
  </si>
  <si>
    <t>Comoros</t>
  </si>
  <si>
    <t>COM</t>
  </si>
  <si>
    <t>Congo</t>
  </si>
  <si>
    <t>COG</t>
  </si>
  <si>
    <t>Cook Islands</t>
  </si>
  <si>
    <t>COK</t>
  </si>
  <si>
    <t>CRI</t>
  </si>
  <si>
    <t>Cote d'Ivoire</t>
  </si>
  <si>
    <t>CIV</t>
  </si>
  <si>
    <t>HRV</t>
  </si>
  <si>
    <t>Cuba</t>
  </si>
  <si>
    <t>CUB</t>
  </si>
  <si>
    <t>Curaçao</t>
  </si>
  <si>
    <t>CUW</t>
  </si>
  <si>
    <t>CYP</t>
  </si>
  <si>
    <t>CZE</t>
  </si>
  <si>
    <t>PRK</t>
  </si>
  <si>
    <t>Democratic Republic of the Congo</t>
  </si>
  <si>
    <t>COD</t>
  </si>
  <si>
    <t>DNK</t>
  </si>
  <si>
    <t>Djibouti</t>
  </si>
  <si>
    <t>DJI</t>
  </si>
  <si>
    <t>Dominica</t>
  </si>
  <si>
    <t>DMA</t>
  </si>
  <si>
    <t>DOM</t>
  </si>
  <si>
    <t>Ecuador</t>
  </si>
  <si>
    <t>ECU</t>
  </si>
  <si>
    <t>Egypt</t>
  </si>
  <si>
    <t>EGY</t>
  </si>
  <si>
    <t>SLV</t>
  </si>
  <si>
    <t>Equatorial Guinea</t>
  </si>
  <si>
    <t>GNQ</t>
  </si>
  <si>
    <t>Eritrea</t>
  </si>
  <si>
    <t>ERI</t>
  </si>
  <si>
    <t>EST</t>
  </si>
  <si>
    <t>Eswatini</t>
  </si>
  <si>
    <t>SWZ</t>
  </si>
  <si>
    <t>Ethiopia</t>
  </si>
  <si>
    <t>ETH</t>
  </si>
  <si>
    <t>Faroe Islands</t>
  </si>
  <si>
    <t>FRO</t>
  </si>
  <si>
    <t>Fiji</t>
  </si>
  <si>
    <t>FJI</t>
  </si>
  <si>
    <t>FIN</t>
  </si>
  <si>
    <t>FRA</t>
  </si>
  <si>
    <t>Gabon</t>
  </si>
  <si>
    <t>GAB</t>
  </si>
  <si>
    <t>Gambia</t>
  </si>
  <si>
    <t>GMB</t>
  </si>
  <si>
    <t>GEO</t>
  </si>
  <si>
    <t>DEU</t>
  </si>
  <si>
    <t>Ghana</t>
  </si>
  <si>
    <t>GHA</t>
  </si>
  <si>
    <t>Gibraltar</t>
  </si>
  <si>
    <t>GIB</t>
  </si>
  <si>
    <t>GRC</t>
  </si>
  <si>
    <t>Greenland</t>
  </si>
  <si>
    <t>GRL</t>
  </si>
  <si>
    <t>Grenada</t>
  </si>
  <si>
    <t>GRD</t>
  </si>
  <si>
    <t>GTM</t>
  </si>
  <si>
    <t>Guinea</t>
  </si>
  <si>
    <t>GIN</t>
  </si>
  <si>
    <t>Guinea-Bissau</t>
  </si>
  <si>
    <t>GNB</t>
  </si>
  <si>
    <t>Guyana</t>
  </si>
  <si>
    <t>GUY</t>
  </si>
  <si>
    <t>Haiti</t>
  </si>
  <si>
    <t>HTI</t>
  </si>
  <si>
    <t>Honduras</t>
  </si>
  <si>
    <t>HND</t>
  </si>
  <si>
    <t>HUN</t>
  </si>
  <si>
    <t>ISL</t>
  </si>
  <si>
    <t>India</t>
  </si>
  <si>
    <t>IND</t>
  </si>
  <si>
    <t>IDN</t>
  </si>
  <si>
    <t>Iran (Islamic Republic of)</t>
  </si>
  <si>
    <t>IRN</t>
  </si>
  <si>
    <t>Iraq</t>
  </si>
  <si>
    <t>IRQ</t>
  </si>
  <si>
    <t>IRL</t>
  </si>
  <si>
    <t>ISR</t>
  </si>
  <si>
    <t>ITA</t>
  </si>
  <si>
    <t>JAM</t>
  </si>
  <si>
    <t>JPN</t>
  </si>
  <si>
    <t>JOR</t>
  </si>
  <si>
    <t>KAZ</t>
  </si>
  <si>
    <t>Kenya</t>
  </si>
  <si>
    <t>KEN</t>
  </si>
  <si>
    <t>Kiribati</t>
  </si>
  <si>
    <t>KIR</t>
  </si>
  <si>
    <t>Kuwait</t>
  </si>
  <si>
    <t>KWT</t>
  </si>
  <si>
    <t>Kyrgyzstan</t>
  </si>
  <si>
    <t>KGZ</t>
  </si>
  <si>
    <t>Lao PDR</t>
  </si>
  <si>
    <t>LAO</t>
  </si>
  <si>
    <t>LVA</t>
  </si>
  <si>
    <t>Lebanon</t>
  </si>
  <si>
    <t>LBN</t>
  </si>
  <si>
    <t>Lesotho</t>
  </si>
  <si>
    <t>LSO</t>
  </si>
  <si>
    <t>Liberia</t>
  </si>
  <si>
    <t>LBR</t>
  </si>
  <si>
    <t>Libya</t>
  </si>
  <si>
    <t>LBY</t>
  </si>
  <si>
    <t>Liechtenstein</t>
  </si>
  <si>
    <t>LIE</t>
  </si>
  <si>
    <t>LTU</t>
  </si>
  <si>
    <t>LUX</t>
  </si>
  <si>
    <t>Madagascar</t>
  </si>
  <si>
    <t>MDG</t>
  </si>
  <si>
    <t>Malawi</t>
  </si>
  <si>
    <t>MWI</t>
  </si>
  <si>
    <t>MYS</t>
  </si>
  <si>
    <t>Maldives</t>
  </si>
  <si>
    <t>MDV</t>
  </si>
  <si>
    <t>Mali</t>
  </si>
  <si>
    <t>MLI</t>
  </si>
  <si>
    <t>MLT</t>
  </si>
  <si>
    <t>Marshall Islands</t>
  </si>
  <si>
    <t>MHL</t>
  </si>
  <si>
    <t>Mauritius</t>
  </si>
  <si>
    <t>MUS</t>
  </si>
  <si>
    <t>MEX</t>
  </si>
  <si>
    <t>Micronesia (Federated States of)</t>
  </si>
  <si>
    <t>FSM</t>
  </si>
  <si>
    <t>Monaco</t>
  </si>
  <si>
    <t>MCO</t>
  </si>
  <si>
    <t>MNG</t>
  </si>
  <si>
    <t>MNE</t>
  </si>
  <si>
    <t>Montserrat</t>
  </si>
  <si>
    <t>MSR</t>
  </si>
  <si>
    <t>MAR</t>
  </si>
  <si>
    <t>Mozambique</t>
  </si>
  <si>
    <t>MOZ</t>
  </si>
  <si>
    <t>Myanmar</t>
  </si>
  <si>
    <t>MMR</t>
  </si>
  <si>
    <t>Namibia</t>
  </si>
  <si>
    <t>NAM</t>
  </si>
  <si>
    <t>Nauru</t>
  </si>
  <si>
    <t>NRU</t>
  </si>
  <si>
    <t>Nepal</t>
  </si>
  <si>
    <t>NPL</t>
  </si>
  <si>
    <t>NLD</t>
  </si>
  <si>
    <t>NZL</t>
  </si>
  <si>
    <t>Nicaragua</t>
  </si>
  <si>
    <t>NIC</t>
  </si>
  <si>
    <t>Niger</t>
  </si>
  <si>
    <t>NER</t>
  </si>
  <si>
    <t>Nigeria</t>
  </si>
  <si>
    <t>NGA</t>
  </si>
  <si>
    <t>Niue</t>
  </si>
  <si>
    <t>NIU</t>
  </si>
  <si>
    <t>MKD</t>
  </si>
  <si>
    <t>NOR</t>
  </si>
  <si>
    <t>Oman</t>
  </si>
  <si>
    <t>OMN</t>
  </si>
  <si>
    <t>Pakistan</t>
  </si>
  <si>
    <t>PAK</t>
  </si>
  <si>
    <t>Palau</t>
  </si>
  <si>
    <t>PLW</t>
  </si>
  <si>
    <t>Palestine</t>
  </si>
  <si>
    <t>PSE</t>
  </si>
  <si>
    <t>PAN</t>
  </si>
  <si>
    <t>Papua New Guinea</t>
  </si>
  <si>
    <t>PNG</t>
  </si>
  <si>
    <t>PRY</t>
  </si>
  <si>
    <t>PER</t>
  </si>
  <si>
    <t>PHL</t>
  </si>
  <si>
    <t>POL</t>
  </si>
  <si>
    <t>PRT</t>
  </si>
  <si>
    <t>QAT</t>
  </si>
  <si>
    <t>Republic of Korea</t>
  </si>
  <si>
    <t>KOR</t>
  </si>
  <si>
    <t>Republic of Moldova</t>
  </si>
  <si>
    <t>MDA</t>
  </si>
  <si>
    <t>ROU</t>
  </si>
  <si>
    <t>Russian Federation</t>
  </si>
  <si>
    <t>RUS</t>
  </si>
  <si>
    <t>Rwanda</t>
  </si>
  <si>
    <t>RWA</t>
  </si>
  <si>
    <t>Saint Kitts and Nevis</t>
  </si>
  <si>
    <t>KNA</t>
  </si>
  <si>
    <t>Saint Lucia</t>
  </si>
  <si>
    <t>LCA</t>
  </si>
  <si>
    <t>Saint Vincent and the Grenadines</t>
  </si>
  <si>
    <t>VCT</t>
  </si>
  <si>
    <t>Samoa</t>
  </si>
  <si>
    <t>WSM</t>
  </si>
  <si>
    <t>San Marino</t>
  </si>
  <si>
    <t>SMR</t>
  </si>
  <si>
    <t>São Tomé and Príncipe</t>
  </si>
  <si>
    <t>STP</t>
  </si>
  <si>
    <t>SAU</t>
  </si>
  <si>
    <t>Senegal</t>
  </si>
  <si>
    <t>SEN</t>
  </si>
  <si>
    <t>SRB</t>
  </si>
  <si>
    <t>Seychelles</t>
  </si>
  <si>
    <t>SYC</t>
  </si>
  <si>
    <t>Sierra Leone</t>
  </si>
  <si>
    <t>SLE</t>
  </si>
  <si>
    <t>SGP</t>
  </si>
  <si>
    <t>Sint Marteen</t>
  </si>
  <si>
    <t>SXM</t>
  </si>
  <si>
    <t>SVK</t>
  </si>
  <si>
    <t>SVN</t>
  </si>
  <si>
    <t>Solomon Islands</t>
  </si>
  <si>
    <t>SLB</t>
  </si>
  <si>
    <t>Somalia</t>
  </si>
  <si>
    <t>SOM</t>
  </si>
  <si>
    <t>South Africa</t>
  </si>
  <si>
    <t>ZAF</t>
  </si>
  <si>
    <t>South Sudan</t>
  </si>
  <si>
    <t>SSD</t>
  </si>
  <si>
    <t>ESP</t>
  </si>
  <si>
    <t>Sri Lanka</t>
  </si>
  <si>
    <t>LKA</t>
  </si>
  <si>
    <t>Sudan</t>
  </si>
  <si>
    <t>SDN</t>
  </si>
  <si>
    <t>Suriname</t>
  </si>
  <si>
    <t>SUR</t>
  </si>
  <si>
    <t>Svalbard</t>
  </si>
  <si>
    <t>SJM</t>
  </si>
  <si>
    <t>SWE</t>
  </si>
  <si>
    <t>CHE</t>
  </si>
  <si>
    <t>Syrian Arab Republic</t>
  </si>
  <si>
    <t>SYR</t>
  </si>
  <si>
    <t>Tajikistan</t>
  </si>
  <si>
    <t>TJK</t>
  </si>
  <si>
    <t>THA</t>
  </si>
  <si>
    <t>Timor-Leste</t>
  </si>
  <si>
    <t>TLS</t>
  </si>
  <si>
    <t>Togo</t>
  </si>
  <si>
    <t>TGO</t>
  </si>
  <si>
    <t>Tokelau</t>
  </si>
  <si>
    <t>TKL</t>
  </si>
  <si>
    <t>Tonga</t>
  </si>
  <si>
    <t>TON</t>
  </si>
  <si>
    <t>Trinidad and Tobago</t>
  </si>
  <si>
    <t>TTO</t>
  </si>
  <si>
    <t>Tunisia</t>
  </si>
  <si>
    <t>TUN</t>
  </si>
  <si>
    <t>TUR</t>
  </si>
  <si>
    <t>Turkmenistan</t>
  </si>
  <si>
    <t>TKM</t>
  </si>
  <si>
    <t>Turks and Caicos Island</t>
  </si>
  <si>
    <t>TCA</t>
  </si>
  <si>
    <t>Tuvalu</t>
  </si>
  <si>
    <t>TUV</t>
  </si>
  <si>
    <t>Uganda</t>
  </si>
  <si>
    <t>UGA</t>
  </si>
  <si>
    <t>Ukraine</t>
  </si>
  <si>
    <t>UKR</t>
  </si>
  <si>
    <t>ARE</t>
  </si>
  <si>
    <t>GBR</t>
  </si>
  <si>
    <t>United Republic of Tanzania</t>
  </si>
  <si>
    <t>TZA</t>
  </si>
  <si>
    <t>United States of America</t>
  </si>
  <si>
    <t>USA</t>
  </si>
  <si>
    <t>URY</t>
  </si>
  <si>
    <t>UZB</t>
  </si>
  <si>
    <t>Vanuatu</t>
  </si>
  <si>
    <t>VUT</t>
  </si>
  <si>
    <t>Venezuela</t>
  </si>
  <si>
    <t>VEN</t>
  </si>
  <si>
    <t>VNM</t>
  </si>
  <si>
    <t>Yemen</t>
  </si>
  <si>
    <t>YEM</t>
  </si>
  <si>
    <t>Zambia</t>
  </si>
  <si>
    <t>ZMB</t>
  </si>
  <si>
    <t>Zimbabwe</t>
  </si>
  <si>
    <t>ZWE</t>
  </si>
  <si>
    <t>Mauritania</t>
  </si>
  <si>
    <t>MRT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</si>
</sst>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color theme="1"/>
      <name val="Arial"/>
      <family val="2"/>
    </font>
    <font>
      <sz val="8"/>
      <color indexed="8"/>
      <name val="Verdana"/>
      <family val="2"/>
    </font>
    <font>
      <sz val="10"/>
      <color indexed="8"/>
      <name val="Verdana"/>
      <family val="2"/>
    </font>
    <font>
      <b/>
      <sz val="8"/>
      <color indexed="8"/>
      <name val="Verdana"/>
      <family val="2"/>
    </font>
    <font>
      <sz val="8"/>
      <color rgb="FF000000"/>
      <name val="Verdana"/>
      <family val="2"/>
    </font>
    <font>
      <sz val="8"/>
      <name val="Arial"/>
      <family val="2"/>
    </font>
    <font>
      <sz val="8"/>
      <color theme="0"/>
      <name val="Verdana"/>
      <family val="2"/>
    </font>
    <font>
      <sz val="10"/>
      <color theme="1"/>
      <name val="Arial"/>
      <family val="2"/>
    </font>
    <font>
      <sz val="11"/>
      <name val="Calibri"/>
      <family val="2"/>
    </font>
    <font>
      <sz val="10"/>
      <name val="Arial"/>
      <family val="2"/>
    </font>
    <font>
      <sz val="11"/>
      <color theme="1"/>
      <name val="Arial"/>
      <family val="2"/>
      <scheme val="minor"/>
    </font>
    <font>
      <sz val="10"/>
      <color rgb="FF000000"/>
      <name val="Helvetica Neue"/>
      <family val="2"/>
    </font>
    <font>
      <b/>
      <sz val="10"/>
      <color rgb="FF000000"/>
      <name val="Helvetica Neue"/>
      <family val="2"/>
    </font>
  </fonts>
  <fills count="11">
    <fill>
      <patternFill patternType="none"/>
    </fill>
    <fill>
      <patternFill patternType="gray125"/>
    </fill>
    <fill>
      <patternFill patternType="solid">
        <fgColor indexed="9"/>
        <bgColor indexed="64"/>
      </patternFill>
    </fill>
    <fill>
      <patternFill patternType="solid">
        <fgColor rgb="FFF2F9FF"/>
        <bgColor indexed="64"/>
      </patternFill>
    </fill>
    <fill>
      <patternFill patternType="solid">
        <fgColor rgb="FFF2F9FF"/>
        <bgColor rgb="FF000000"/>
      </patternFill>
    </fill>
    <fill>
      <patternFill patternType="solid">
        <fgColor rgb="FFFFFFFF"/>
        <bgColor rgb="FF000000"/>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4" tint="0.59996337778862885"/>
        <bgColor indexed="64"/>
      </patternFill>
    </fill>
  </fills>
  <borders count="24">
    <border>
      <left/>
      <right/>
      <top/>
      <bottom/>
      <diagonal/>
    </border>
    <border>
      <left/>
      <right/>
      <top/>
      <bottom style="thin">
        <color indexed="64"/>
      </bottom>
      <diagonal/>
    </border>
    <border>
      <left/>
      <right/>
      <top/>
      <bottom style="thin">
        <color rgb="FFC6DDDF"/>
      </bottom>
      <diagonal/>
    </border>
    <border>
      <left/>
      <right style="thin">
        <color rgb="FFC6DDDF"/>
      </right>
      <top style="thin">
        <color rgb="FFC6DDDF"/>
      </top>
      <bottom style="thin">
        <color indexed="64"/>
      </bottom>
      <diagonal/>
    </border>
    <border>
      <left/>
      <right/>
      <top style="thin">
        <color indexed="64"/>
      </top>
      <bottom style="thin">
        <color rgb="FFC6DDDF"/>
      </bottom>
      <diagonal/>
    </border>
    <border>
      <left/>
      <right/>
      <top style="thin">
        <color rgb="FFC6DDDF"/>
      </top>
      <bottom style="thin">
        <color rgb="FFC6DDDF"/>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indexed="64"/>
      </left>
      <right style="thin">
        <color indexed="64"/>
      </right>
      <top style="medium">
        <color indexed="64"/>
      </top>
      <bottom/>
      <diagonal/>
    </border>
    <border>
      <left/>
      <right style="thin">
        <color indexed="64"/>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medium">
        <color auto="1"/>
      </right>
      <top style="medium">
        <color auto="1"/>
      </top>
      <bottom/>
      <diagonal/>
    </border>
    <border>
      <left style="thin">
        <color indexed="64"/>
      </left>
      <right style="medium">
        <color indexed="64"/>
      </right>
      <top/>
      <bottom/>
      <diagonal/>
    </border>
    <border>
      <left style="thin">
        <color auto="1"/>
      </left>
      <right style="medium">
        <color auto="1"/>
      </right>
      <top/>
      <bottom style="medium">
        <color auto="1"/>
      </bottom>
      <diagonal/>
    </border>
  </borders>
  <cellStyleXfs count="4">
    <xf numFmtId="0" fontId="0" fillId="0" borderId="0">
      <alignment vertical="center"/>
    </xf>
    <xf numFmtId="0" fontId="8" fillId="0" borderId="0"/>
    <xf numFmtId="0" fontId="8" fillId="0" borderId="0"/>
    <xf numFmtId="0" fontId="10" fillId="0" borderId="0"/>
  </cellStyleXfs>
  <cellXfs count="62">
    <xf numFmtId="0" fontId="0" fillId="0" borderId="0" xfId="0">
      <alignment vertical="center"/>
    </xf>
    <xf numFmtId="0" fontId="2" fillId="0" borderId="0" xfId="0" applyFont="1" applyAlignment="1">
      <alignment horizontal="left" vertical="center"/>
    </xf>
    <xf numFmtId="0" fontId="3" fillId="0" borderId="1" xfId="0" applyFont="1" applyBorder="1" applyAlignment="1">
      <alignment horizontal="right" vertical="center"/>
    </xf>
    <xf numFmtId="0" fontId="1" fillId="3" borderId="4" xfId="0" applyFont="1" applyFill="1" applyBorder="1" applyAlignment="1">
      <alignment horizontal="right" vertical="center"/>
    </xf>
    <xf numFmtId="0" fontId="1" fillId="2" borderId="5" xfId="0" applyFont="1" applyFill="1" applyBorder="1" applyAlignment="1">
      <alignment horizontal="right" vertical="center"/>
    </xf>
    <xf numFmtId="0" fontId="1" fillId="3" borderId="5" xfId="0" applyFont="1" applyFill="1" applyBorder="1" applyAlignment="1">
      <alignment horizontal="right" vertical="center"/>
    </xf>
    <xf numFmtId="2" fontId="1" fillId="3" borderId="3" xfId="0" applyNumberFormat="1" applyFont="1" applyFill="1" applyBorder="1" applyAlignment="1">
      <alignment horizontal="right" vertical="center"/>
    </xf>
    <xf numFmtId="2" fontId="4" fillId="4" borderId="3" xfId="0" applyNumberFormat="1" applyFont="1" applyFill="1" applyBorder="1" applyAlignment="1">
      <alignment horizontal="right" vertical="center"/>
    </xf>
    <xf numFmtId="2" fontId="1" fillId="3" borderId="4" xfId="0" applyNumberFormat="1" applyFont="1" applyFill="1" applyBorder="1" applyAlignment="1">
      <alignment horizontal="center" vertical="center"/>
    </xf>
    <xf numFmtId="2" fontId="1" fillId="3" borderId="4" xfId="0" applyNumberFormat="1" applyFont="1" applyFill="1" applyBorder="1" applyAlignment="1">
      <alignment horizontal="right" vertical="center"/>
    </xf>
    <xf numFmtId="2" fontId="4" fillId="4" borderId="2" xfId="0" applyNumberFormat="1" applyFont="1" applyFill="1" applyBorder="1" applyAlignment="1">
      <alignment horizontal="right" vertical="center"/>
    </xf>
    <xf numFmtId="2" fontId="1" fillId="2" borderId="5" xfId="0" applyNumberFormat="1" applyFont="1" applyFill="1" applyBorder="1" applyAlignment="1">
      <alignment horizontal="center" vertical="center"/>
    </xf>
    <xf numFmtId="2" fontId="1" fillId="2" borderId="5" xfId="0" applyNumberFormat="1" applyFont="1" applyFill="1" applyBorder="1" applyAlignment="1">
      <alignment horizontal="right" vertical="center"/>
    </xf>
    <xf numFmtId="2" fontId="4" fillId="5" borderId="2" xfId="0" applyNumberFormat="1" applyFont="1" applyFill="1" applyBorder="1" applyAlignment="1">
      <alignment horizontal="right" vertical="center"/>
    </xf>
    <xf numFmtId="2" fontId="1" fillId="3" borderId="5" xfId="0" applyNumberFormat="1" applyFont="1" applyFill="1" applyBorder="1" applyAlignment="1">
      <alignment horizontal="center" vertical="center"/>
    </xf>
    <xf numFmtId="2" fontId="1" fillId="3" borderId="5" xfId="0" applyNumberFormat="1" applyFont="1" applyFill="1" applyBorder="1" applyAlignment="1">
      <alignment horizontal="right" vertical="center"/>
    </xf>
    <xf numFmtId="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6" xfId="0" applyBorder="1">
      <alignment vertical="center"/>
    </xf>
    <xf numFmtId="2" fontId="6" fillId="7" borderId="3" xfId="0" applyNumberFormat="1" applyFont="1" applyFill="1" applyBorder="1" applyAlignment="1">
      <alignment horizontal="center" vertical="center"/>
    </xf>
    <xf numFmtId="2" fontId="6" fillId="8" borderId="3" xfId="0" applyNumberFormat="1" applyFont="1" applyFill="1" applyBorder="1" applyAlignment="1">
      <alignment horizontal="center" vertical="center"/>
    </xf>
    <xf numFmtId="164" fontId="0" fillId="0" borderId="6" xfId="0" applyNumberFormat="1" applyBorder="1">
      <alignment vertical="center"/>
    </xf>
    <xf numFmtId="0" fontId="0" fillId="0" borderId="0" xfId="0" applyAlignment="1"/>
    <xf numFmtId="2" fontId="1" fillId="9" borderId="3" xfId="0" applyNumberFormat="1" applyFont="1" applyFill="1" applyBorder="1" applyAlignment="1">
      <alignment horizontal="right" vertical="center"/>
    </xf>
    <xf numFmtId="2" fontId="6" fillId="6" borderId="3" xfId="0" applyNumberFormat="1" applyFont="1" applyFill="1" applyBorder="1" applyAlignment="1">
      <alignment horizontal="center" vertical="center"/>
    </xf>
    <xf numFmtId="0" fontId="9" fillId="10" borderId="6" xfId="1" applyFont="1" applyFill="1" applyBorder="1" applyAlignment="1">
      <alignment horizontal="center" vertical="center"/>
    </xf>
    <xf numFmtId="164" fontId="9" fillId="0" borderId="8" xfId="1" applyNumberFormat="1" applyFont="1" applyBorder="1"/>
    <xf numFmtId="164" fontId="9" fillId="0" borderId="9" xfId="1" applyNumberFormat="1" applyFont="1" applyBorder="1"/>
    <xf numFmtId="164" fontId="9" fillId="0" borderId="10" xfId="1" applyNumberFormat="1" applyFont="1" applyBorder="1"/>
    <xf numFmtId="0" fontId="9" fillId="0" borderId="0" xfId="1" applyFont="1"/>
    <xf numFmtId="164" fontId="9" fillId="0" borderId="0" xfId="1" applyNumberFormat="1" applyFont="1"/>
    <xf numFmtId="0" fontId="9" fillId="0" borderId="13" xfId="1" applyFont="1" applyBorder="1"/>
    <xf numFmtId="0" fontId="9" fillId="0" borderId="12" xfId="1" applyFont="1" applyBorder="1"/>
    <xf numFmtId="0" fontId="9" fillId="0" borderId="14" xfId="1" applyFont="1" applyBorder="1"/>
    <xf numFmtId="0" fontId="9" fillId="10" borderId="7" xfId="1" applyFont="1" applyFill="1" applyBorder="1" applyAlignment="1">
      <alignment horizontal="center" vertical="center"/>
    </xf>
    <xf numFmtId="0" fontId="9" fillId="10" borderId="11" xfId="1" applyFont="1" applyFill="1" applyBorder="1" applyAlignment="1">
      <alignment horizontal="center" vertical="center"/>
    </xf>
    <xf numFmtId="0" fontId="9" fillId="0" borderId="12" xfId="0" applyFont="1" applyBorder="1" applyAlignment="1"/>
    <xf numFmtId="164" fontId="9" fillId="0" borderId="16" xfId="0" applyNumberFormat="1" applyFont="1" applyBorder="1" applyAlignment="1"/>
    <xf numFmtId="0" fontId="9" fillId="0" borderId="17" xfId="0" applyFont="1" applyBorder="1" applyAlignment="1"/>
    <xf numFmtId="164" fontId="9" fillId="0" borderId="17" xfId="0" applyNumberFormat="1" applyFont="1" applyBorder="1" applyAlignment="1"/>
    <xf numFmtId="0" fontId="9" fillId="0" borderId="0" xfId="0" applyFont="1" applyAlignment="1"/>
    <xf numFmtId="164" fontId="9" fillId="0" borderId="0" xfId="0" applyNumberFormat="1" applyFont="1" applyAlignment="1"/>
    <xf numFmtId="0" fontId="9" fillId="10" borderId="18" xfId="2" applyFont="1" applyFill="1" applyBorder="1"/>
    <xf numFmtId="0" fontId="9" fillId="0" borderId="11" xfId="2" applyFont="1" applyBorder="1"/>
    <xf numFmtId="0" fontId="7" fillId="0" borderId="12" xfId="3" applyFont="1" applyBorder="1"/>
    <xf numFmtId="0" fontId="9" fillId="0" borderId="12" xfId="2" applyFont="1" applyBorder="1"/>
    <xf numFmtId="0" fontId="7" fillId="0" borderId="14" xfId="3" applyFont="1" applyBorder="1"/>
    <xf numFmtId="0" fontId="9" fillId="0" borderId="6" xfId="2" applyFont="1" applyBorder="1"/>
    <xf numFmtId="0" fontId="7" fillId="0" borderId="6" xfId="3" applyFont="1" applyBorder="1"/>
    <xf numFmtId="0" fontId="9" fillId="10" borderId="19" xfId="2" applyFont="1" applyFill="1" applyBorder="1" applyAlignment="1">
      <alignment horizontal="center" vertical="center" wrapText="1"/>
    </xf>
    <xf numFmtId="0" fontId="9" fillId="10" borderId="20" xfId="2" applyFont="1" applyFill="1" applyBorder="1" applyAlignment="1">
      <alignment horizontal="center" vertical="center"/>
    </xf>
    <xf numFmtId="1" fontId="9" fillId="0" borderId="15" xfId="2" applyNumberFormat="1" applyFont="1" applyBorder="1"/>
    <xf numFmtId="1" fontId="9" fillId="0" borderId="21" xfId="2" applyNumberFormat="1" applyFont="1" applyBorder="1"/>
    <xf numFmtId="1" fontId="9" fillId="0" borderId="9" xfId="2" applyNumberFormat="1" applyFont="1" applyBorder="1"/>
    <xf numFmtId="1" fontId="9" fillId="0" borderId="22" xfId="2" applyNumberFormat="1" applyFont="1" applyBorder="1"/>
    <xf numFmtId="1" fontId="9" fillId="0" borderId="10" xfId="2" applyNumberFormat="1" applyFont="1" applyBorder="1"/>
    <xf numFmtId="1" fontId="9" fillId="0" borderId="23" xfId="2" applyNumberFormat="1" applyFont="1" applyBorder="1"/>
    <xf numFmtId="0" fontId="9" fillId="0" borderId="17" xfId="2" applyFont="1" applyBorder="1"/>
    <xf numFmtId="1" fontId="9" fillId="0" borderId="17" xfId="2" applyNumberFormat="1" applyFont="1" applyBorder="1"/>
    <xf numFmtId="0" fontId="12" fillId="0" borderId="0" xfId="0" applyFont="1">
      <alignment vertical="center"/>
    </xf>
    <xf numFmtId="0" fontId="11" fillId="0" borderId="0" xfId="0" applyFont="1">
      <alignment vertical="center"/>
    </xf>
  </cellXfs>
  <cellStyles count="4">
    <cellStyle name="Normal" xfId="0" builtinId="0"/>
    <cellStyle name="Normal 2 2" xfId="3" xr:uid="{CC56821B-E329-294B-94F8-7DA720AEAD6A}"/>
    <cellStyle name="Normal 4 2" xfId="1" xr:uid="{31E4DCDB-ABC4-FD43-AFF5-DB67194DD069}"/>
    <cellStyle name="Normal 5 2" xfId="2" xr:uid="{902A3207-5B41-194B-95C2-5246DFC46E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[Total_PISA.xlsx]Feuil6!Tableau croisé dynamique9</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635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635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63500">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prstDash val="sysDash"/>
            <a:round/>
          </a:ln>
          <a:effectLst/>
        </c:spPr>
        <c:marker>
          <c:symbol val="circle"/>
          <c:size val="5"/>
          <c:spPr>
            <a:solidFill>
              <a:schemeClr val="accent4"/>
            </a:solidFill>
            <a:ln w="63500">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solidFill>
            <a:prstDash val="sysDash"/>
            <a:round/>
          </a:ln>
          <a:effectLst/>
        </c:spPr>
        <c:marker>
          <c:symbol val="circle"/>
          <c:size val="5"/>
          <c:spPr>
            <a:solidFill>
              <a:schemeClr val="accent4"/>
            </a:solidFill>
            <a:ln w="63500">
              <a:solidFill>
                <a:schemeClr val="tx2"/>
              </a:solidFill>
            </a:ln>
            <a:effectLst/>
          </c:spPr>
        </c:marker>
      </c:pivotFmt>
    </c:pivotFmts>
    <c:plotArea>
      <c:layout/>
      <c:lineChart>
        <c:grouping val="standard"/>
        <c:varyColors val="0"/>
        <c:ser>
          <c:idx val="0"/>
          <c:order val="0"/>
          <c:tx>
            <c:strRef>
              <c:f>Feuil6!$B$3</c:f>
              <c:strCache>
                <c:ptCount val="1"/>
                <c:pt idx="0">
                  <c:v>Somme de Mathematics scale Average</c:v>
                </c:pt>
              </c:strCache>
            </c:strRef>
          </c:tx>
          <c:spPr>
            <a:ln w="28575" cap="rnd">
              <a:solidFill>
                <a:schemeClr val="accent1"/>
              </a:solidFill>
              <a:round/>
            </a:ln>
            <a:effectLst/>
          </c:spPr>
          <c:marker>
            <c:symbol val="circle"/>
            <c:size val="5"/>
            <c:spPr>
              <a:solidFill>
                <a:schemeClr val="accent1"/>
              </a:solidFill>
              <a:ln w="63500">
                <a:solidFill>
                  <a:schemeClr val="accent1"/>
                </a:solidFill>
              </a:ln>
              <a:effectLst/>
            </c:spPr>
          </c:marker>
          <c:cat>
            <c:strRef>
              <c:f>Feuil6!$A$4:$A$10</c:f>
              <c:strCache>
                <c:ptCount val="6"/>
                <c:pt idx="0">
                  <c:v>2006</c:v>
                </c:pt>
                <c:pt idx="1">
                  <c:v>2009</c:v>
                </c:pt>
                <c:pt idx="2">
                  <c:v>2012</c:v>
                </c:pt>
                <c:pt idx="3">
                  <c:v>2015</c:v>
                </c:pt>
                <c:pt idx="4">
                  <c:v>2018</c:v>
                </c:pt>
                <c:pt idx="5">
                  <c:v>2022</c:v>
                </c:pt>
              </c:strCache>
            </c:strRef>
          </c:cat>
          <c:val>
            <c:numRef>
              <c:f>Feuil6!$B$4:$B$10</c:f>
              <c:numCache>
                <c:formatCode>General</c:formatCode>
                <c:ptCount val="6"/>
                <c:pt idx="0">
                  <c:v>495.53833286443597</c:v>
                </c:pt>
                <c:pt idx="1">
                  <c:v>496.78231031620697</c:v>
                </c:pt>
                <c:pt idx="2">
                  <c:v>494.98467432577797</c:v>
                </c:pt>
                <c:pt idx="3">
                  <c:v>492.92040179419001</c:v>
                </c:pt>
                <c:pt idx="4">
                  <c:v>495.40757939134699</c:v>
                </c:pt>
                <c:pt idx="5">
                  <c:v>473.94441830649401</c:v>
                </c:pt>
              </c:numCache>
            </c:numRef>
          </c:val>
          <c:smooth val="0"/>
          <c:extLst>
            <c:ext xmlns:c16="http://schemas.microsoft.com/office/drawing/2014/chart" uri="{C3380CC4-5D6E-409C-BE32-E72D297353CC}">
              <c16:uniqueId val="{00000000-B426-3B43-90B7-C4A868611AE0}"/>
            </c:ext>
          </c:extLst>
        </c:ser>
        <c:ser>
          <c:idx val="1"/>
          <c:order val="1"/>
          <c:tx>
            <c:strRef>
              <c:f>Feuil6!$C$3</c:f>
              <c:strCache>
                <c:ptCount val="1"/>
                <c:pt idx="0">
                  <c:v>Somme de reading scale Average</c:v>
                </c:pt>
              </c:strCache>
            </c:strRef>
          </c:tx>
          <c:spPr>
            <a:ln w="28575" cap="rnd">
              <a:solidFill>
                <a:schemeClr val="accent2"/>
              </a:solidFill>
              <a:round/>
            </a:ln>
            <a:effectLst/>
          </c:spPr>
          <c:marker>
            <c:symbol val="circle"/>
            <c:size val="5"/>
            <c:spPr>
              <a:solidFill>
                <a:schemeClr val="accent2"/>
              </a:solidFill>
              <a:ln w="63500">
                <a:solidFill>
                  <a:schemeClr val="accent2"/>
                </a:solidFill>
              </a:ln>
              <a:effectLst/>
            </c:spPr>
          </c:marker>
          <c:cat>
            <c:strRef>
              <c:f>Feuil6!$A$4:$A$10</c:f>
              <c:strCache>
                <c:ptCount val="6"/>
                <c:pt idx="0">
                  <c:v>2006</c:v>
                </c:pt>
                <c:pt idx="1">
                  <c:v>2009</c:v>
                </c:pt>
                <c:pt idx="2">
                  <c:v>2012</c:v>
                </c:pt>
                <c:pt idx="3">
                  <c:v>2015</c:v>
                </c:pt>
                <c:pt idx="4">
                  <c:v>2018</c:v>
                </c:pt>
                <c:pt idx="5">
                  <c:v>2022</c:v>
                </c:pt>
              </c:strCache>
            </c:strRef>
          </c:cat>
          <c:val>
            <c:numRef>
              <c:f>Feuil6!$C$4:$C$10</c:f>
              <c:numCache>
                <c:formatCode>General</c:formatCode>
                <c:ptCount val="6"/>
                <c:pt idx="0">
                  <c:v>487.70624693394001</c:v>
                </c:pt>
                <c:pt idx="1">
                  <c:v>495.61654146316602</c:v>
                </c:pt>
                <c:pt idx="2">
                  <c:v>505.48148333138801</c:v>
                </c:pt>
                <c:pt idx="3">
                  <c:v>499.30614190209502</c:v>
                </c:pt>
                <c:pt idx="4">
                  <c:v>492.60647919679298</c:v>
                </c:pt>
                <c:pt idx="5">
                  <c:v>473.85215790454299</c:v>
                </c:pt>
              </c:numCache>
            </c:numRef>
          </c:val>
          <c:smooth val="0"/>
          <c:extLst>
            <c:ext xmlns:c16="http://schemas.microsoft.com/office/drawing/2014/chart" uri="{C3380CC4-5D6E-409C-BE32-E72D297353CC}">
              <c16:uniqueId val="{00000001-B426-3B43-90B7-C4A868611AE0}"/>
            </c:ext>
          </c:extLst>
        </c:ser>
        <c:ser>
          <c:idx val="2"/>
          <c:order val="2"/>
          <c:tx>
            <c:strRef>
              <c:f>Feuil6!$D$3</c:f>
              <c:strCache>
                <c:ptCount val="1"/>
                <c:pt idx="0">
                  <c:v>Somme de science scale Average</c:v>
                </c:pt>
              </c:strCache>
            </c:strRef>
          </c:tx>
          <c:spPr>
            <a:ln w="28575" cap="rnd">
              <a:solidFill>
                <a:schemeClr val="accent3"/>
              </a:solidFill>
              <a:round/>
            </a:ln>
            <a:effectLst/>
          </c:spPr>
          <c:marker>
            <c:symbol val="circle"/>
            <c:size val="5"/>
            <c:spPr>
              <a:solidFill>
                <a:schemeClr val="accent3"/>
              </a:solidFill>
              <a:ln w="63500">
                <a:solidFill>
                  <a:schemeClr val="accent3"/>
                </a:solidFill>
              </a:ln>
              <a:effectLst/>
            </c:spPr>
          </c:marker>
          <c:cat>
            <c:strRef>
              <c:f>Feuil6!$A$4:$A$10</c:f>
              <c:strCache>
                <c:ptCount val="6"/>
                <c:pt idx="0">
                  <c:v>2006</c:v>
                </c:pt>
                <c:pt idx="1">
                  <c:v>2009</c:v>
                </c:pt>
                <c:pt idx="2">
                  <c:v>2012</c:v>
                </c:pt>
                <c:pt idx="3">
                  <c:v>2015</c:v>
                </c:pt>
                <c:pt idx="4">
                  <c:v>2018</c:v>
                </c:pt>
                <c:pt idx="5">
                  <c:v>2022</c:v>
                </c:pt>
              </c:strCache>
            </c:strRef>
          </c:cat>
          <c:val>
            <c:numRef>
              <c:f>Feuil6!$D$4:$D$10</c:f>
              <c:numCache>
                <c:formatCode>General</c:formatCode>
                <c:ptCount val="6"/>
                <c:pt idx="0">
                  <c:v>495.21983899188098</c:v>
                </c:pt>
                <c:pt idx="1">
                  <c:v>498.226893935058</c:v>
                </c:pt>
                <c:pt idx="2">
                  <c:v>498.97089524164801</c:v>
                </c:pt>
                <c:pt idx="3">
                  <c:v>494.97760037200499</c:v>
                </c:pt>
                <c:pt idx="4">
                  <c:v>492.97707394731498</c:v>
                </c:pt>
                <c:pt idx="5">
                  <c:v>487.22527848887199</c:v>
                </c:pt>
              </c:numCache>
            </c:numRef>
          </c:val>
          <c:smooth val="0"/>
          <c:extLst>
            <c:ext xmlns:c16="http://schemas.microsoft.com/office/drawing/2014/chart" uri="{C3380CC4-5D6E-409C-BE32-E72D297353CC}">
              <c16:uniqueId val="{00000002-B426-3B43-90B7-C4A868611AE0}"/>
            </c:ext>
          </c:extLst>
        </c:ser>
        <c:dLbls>
          <c:showLegendKey val="0"/>
          <c:showVal val="0"/>
          <c:showCatName val="0"/>
          <c:showSerName val="0"/>
          <c:showPercent val="0"/>
          <c:showBubbleSize val="0"/>
        </c:dLbls>
        <c:marker val="1"/>
        <c:smooth val="0"/>
        <c:axId val="1173967840"/>
        <c:axId val="1289287312"/>
      </c:lineChart>
      <c:lineChart>
        <c:grouping val="standard"/>
        <c:varyColors val="0"/>
        <c:ser>
          <c:idx val="3"/>
          <c:order val="3"/>
          <c:tx>
            <c:strRef>
              <c:f>Feuil6!$E$3</c:f>
              <c:strCache>
                <c:ptCount val="1"/>
                <c:pt idx="0">
                  <c:v>Somme de GINI INDICATOR</c:v>
                </c:pt>
              </c:strCache>
            </c:strRef>
          </c:tx>
          <c:spPr>
            <a:ln w="28575" cap="rnd">
              <a:solidFill>
                <a:schemeClr val="tx2"/>
              </a:solidFill>
              <a:prstDash val="sysDash"/>
              <a:round/>
            </a:ln>
            <a:effectLst/>
          </c:spPr>
          <c:marker>
            <c:symbol val="circle"/>
            <c:size val="5"/>
            <c:spPr>
              <a:solidFill>
                <a:schemeClr val="accent4"/>
              </a:solidFill>
              <a:ln w="63500">
                <a:solidFill>
                  <a:schemeClr val="tx2"/>
                </a:solidFill>
              </a:ln>
              <a:effectLst/>
            </c:spPr>
          </c:marker>
          <c:cat>
            <c:strRef>
              <c:f>Feuil6!$A$4:$A$10</c:f>
              <c:strCache>
                <c:ptCount val="6"/>
                <c:pt idx="0">
                  <c:v>2006</c:v>
                </c:pt>
                <c:pt idx="1">
                  <c:v>2009</c:v>
                </c:pt>
                <c:pt idx="2">
                  <c:v>2012</c:v>
                </c:pt>
                <c:pt idx="3">
                  <c:v>2015</c:v>
                </c:pt>
                <c:pt idx="4">
                  <c:v>2018</c:v>
                </c:pt>
                <c:pt idx="5">
                  <c:v>2022</c:v>
                </c:pt>
              </c:strCache>
            </c:strRef>
          </c:cat>
          <c:val>
            <c:numRef>
              <c:f>Feuil6!$E$4:$E$10</c:f>
              <c:numCache>
                <c:formatCode>General</c:formatCode>
                <c:ptCount val="6"/>
                <c:pt idx="0">
                  <c:v>29.7</c:v>
                </c:pt>
                <c:pt idx="1">
                  <c:v>32.700000000000003</c:v>
                </c:pt>
                <c:pt idx="2">
                  <c:v>33.1</c:v>
                </c:pt>
                <c:pt idx="3">
                  <c:v>32.700000000000003</c:v>
                </c:pt>
                <c:pt idx="4">
                  <c:v>32.4</c:v>
                </c:pt>
                <c:pt idx="5">
                  <c:v>31.2</c:v>
                </c:pt>
              </c:numCache>
            </c:numRef>
          </c:val>
          <c:smooth val="0"/>
          <c:extLst>
            <c:ext xmlns:c16="http://schemas.microsoft.com/office/drawing/2014/chart" uri="{C3380CC4-5D6E-409C-BE32-E72D297353CC}">
              <c16:uniqueId val="{00000003-B426-3B43-90B7-C4A868611AE0}"/>
            </c:ext>
          </c:extLst>
        </c:ser>
        <c:dLbls>
          <c:showLegendKey val="0"/>
          <c:showVal val="0"/>
          <c:showCatName val="0"/>
          <c:showSerName val="0"/>
          <c:showPercent val="0"/>
          <c:showBubbleSize val="0"/>
        </c:dLbls>
        <c:marker val="1"/>
        <c:smooth val="0"/>
        <c:axId val="1304644384"/>
        <c:axId val="1049995808"/>
      </c:lineChart>
      <c:catAx>
        <c:axId val="11739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9287312"/>
        <c:crosses val="autoZero"/>
        <c:auto val="1"/>
        <c:lblAlgn val="ctr"/>
        <c:lblOffset val="100"/>
        <c:noMultiLvlLbl val="0"/>
      </c:catAx>
      <c:valAx>
        <c:axId val="128928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73967840"/>
        <c:crosses val="autoZero"/>
        <c:crossBetween val="between"/>
      </c:valAx>
      <c:valAx>
        <c:axId val="10499958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04644384"/>
        <c:crosses val="max"/>
        <c:crossBetween val="between"/>
      </c:valAx>
      <c:catAx>
        <c:axId val="1304644384"/>
        <c:scaling>
          <c:orientation val="minMax"/>
        </c:scaling>
        <c:delete val="1"/>
        <c:axPos val="b"/>
        <c:numFmt formatCode="General" sourceLinked="1"/>
        <c:majorTickMark val="out"/>
        <c:minorTickMark val="none"/>
        <c:tickLblPos val="nextTo"/>
        <c:crossAx val="1049995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1447800</xdr:colOff>
      <xdr:row>14</xdr:row>
      <xdr:rowOff>82550</xdr:rowOff>
    </xdr:from>
    <xdr:to>
      <xdr:col>6</xdr:col>
      <xdr:colOff>190500</xdr:colOff>
      <xdr:row>38</xdr:row>
      <xdr:rowOff>25400</xdr:rowOff>
    </xdr:to>
    <xdr:graphicFrame macro="">
      <xdr:nvGraphicFramePr>
        <xdr:cNvPr id="2" name="Graphique 1">
          <a:extLst>
            <a:ext uri="{FF2B5EF4-FFF2-40B4-BE49-F238E27FC236}">
              <a16:creationId xmlns:a16="http://schemas.microsoft.com/office/drawing/2014/main" id="{005ED25D-58E0-364C-F0F5-82F769B72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PTISTE NOEL" refreshedDate="46068.678694560185" createdVersion="8" refreshedVersion="8" minRefreshableVersion="3" recordCount="312" xr:uid="{5D014059-9EB1-7B49-A1EC-9E90068B32C6}">
  <cacheSource type="worksheet">
    <worksheetSource ref="A1:T313" sheet="DATA"/>
  </cacheSource>
  <cacheFields count="20">
    <cacheField name="Year/Study" numFmtId="0">
      <sharedItems containsSemiMixedTypes="0" containsString="0" containsNumber="1" containsInteger="1" minValue="2000" maxValue="2022" count="8">
        <n v="2022"/>
        <n v="2018"/>
        <n v="2015"/>
        <n v="2012"/>
        <n v="2009"/>
        <n v="2006"/>
        <n v="2003"/>
        <n v="2000"/>
      </sharedItems>
    </cacheField>
    <cacheField name="Jurisdiction" numFmtId="0">
      <sharedItems count="39">
        <s v="International Average (OECD)"/>
        <s v="Australia"/>
        <s v="Austria"/>
        <s v="Belgium"/>
        <s v="Canada"/>
        <s v="Chile"/>
        <s v="Colombia"/>
        <s v="Costa Rica"/>
        <s v="Czech Republic"/>
        <s v="Denmark"/>
        <s v="Estonia"/>
        <s v="Finland"/>
        <s v="France"/>
        <s v="Germany"/>
        <s v="Greece"/>
        <s v="Hungary"/>
        <s v="Iceland"/>
        <s v="Ireland"/>
        <s v="Israel"/>
        <s v="Italy"/>
        <s v="Japan"/>
        <s v="Korea"/>
        <s v="Latvia"/>
        <s v="Lithuania"/>
        <s v="Luxembourg"/>
        <s v="Mexico"/>
        <s v="Netherlands"/>
        <s v="New Zealand"/>
        <s v="Norway"/>
        <s v="Poland"/>
        <s v="Portugal"/>
        <s v="Slovak Republic"/>
        <s v="Slovenia"/>
        <s v="Spain"/>
        <s v="Sweden"/>
        <s v="Switzerland"/>
        <s v="Türkiye"/>
        <s v="United Kingdom"/>
        <s v="United States"/>
      </sharedItems>
    </cacheField>
    <cacheField name="Mathematics scale Average" numFmtId="0">
      <sharedItems containsMixedTypes="1" containsNumber="1" minValue="369.97851351992603" maxValue="553.76665874982803"/>
    </cacheField>
    <cacheField name="science scale Average" numFmtId="2">
      <sharedItems containsMixedTypes="1" containsNumber="1" minValue="388.038271758836" maxValue="563.32283453827404" count="232">
        <n v="484.646614468069"/>
        <n v="507.000869417628"/>
        <n v="491.27095877058503"/>
        <n v="490.57834610681402"/>
        <n v="515.01667592948297"/>
        <n v="443.54340246277798"/>
        <n v="411.12067326415098"/>
        <n v="410.98662356029803"/>
        <n v="497.74204709768497"/>
        <n v="493.81571163573102"/>
        <n v="525.81177838894303"/>
        <n v="510.95885065682899"/>
        <n v="487.22527848887199"/>
        <n v="492.42672947107798"/>
        <n v="440.78606041342698"/>
        <n v="485.89015836823398"/>
        <n v="446.96711422657302"/>
        <n v="503.84553694971498"/>
        <n v="464.75182530289101"/>
        <n v="477.46336566973901"/>
        <n v="546.63445322239102"/>
        <n v="527.82241827777602"/>
        <n v="493.84276710497699"/>
        <n v="484.46340599730502"/>
        <s v="—"/>
        <n v="409.886598247444"/>
        <n v="488.31683605418402"/>
        <n v="504.12930481758099"/>
        <n v="478.226464845544"/>
        <n v="499.16436195679103"/>
        <n v="484.37346402781498"/>
        <n v="462.26948309170899"/>
        <n v="499.96488259917601"/>
        <n v="484.53364839868601"/>
        <n v="493.54931913375202"/>
        <n v="502.52324153909802"/>
        <n v="475.937802055769"/>
        <n v="499.67021390132697"/>
        <n v="499.41406386577802"/>
        <n v="486.74027430638699"/>
        <n v="502.96456281136602"/>
        <n v="489.78043922683503"/>
        <n v="498.77312702853197"/>
        <n v="517.99766085055001"/>
        <n v="443.58256338022699"/>
        <n v="413.32299257050897"/>
        <n v="415.62246204059102"/>
        <n v="496.79131063200902"/>
        <n v="492.63703338438103"/>
        <n v="530.10800457541802"/>
        <n v="521.88456300128598"/>
        <n v="492.97707394731498"/>
        <n v="502.98890330361399"/>
        <n v="451.63274156997102"/>
        <n v="480.91169390703999"/>
        <n v="475.024106315381"/>
        <n v="496.11356166765"/>
        <n v="462.19663278425298"/>
        <n v="468.01172728913298"/>
        <n v="529.13543338358704"/>
        <n v="519.00725485820703"/>
        <n v="487.25058821937"/>
        <n v="482.067012707652"/>
        <n v="476.76940591543803"/>
        <n v="419.20471927474"/>
        <n v="503.383819429651"/>
        <n v="508.49072143894603"/>
        <n v="490.413149379895"/>
        <n v="511.03556192996399"/>
        <n v="491.67732849961197"/>
        <n v="464.047578171596"/>
        <n v="507.00654589979303"/>
        <n v="483.25204266083398"/>
        <n v="499.44469009078301"/>
        <n v="495.27628790703898"/>
        <n v="468.29961800713102"/>
        <n v="504.66747364428699"/>
        <n v="502.38003193814097"/>
        <n v="488.75804450511498"/>
        <n v="509.99385420925103"/>
        <n v="495.03748637970602"/>
        <n v="501.99971368116599"/>
        <n v="527.70468418283303"/>
        <n v="446.95606636417398"/>
        <n v="415.728760576794"/>
        <n v="419.608033064258"/>
        <n v="492.83004832869398"/>
        <n v="501.936886977413"/>
        <n v="534.19374207720296"/>
        <n v="530.66115886094599"/>
        <n v="494.97760037200499"/>
        <n v="509.14064717477999"/>
        <n v="454.82881659483502"/>
        <n v="476.74751240428702"/>
        <n v="473.23008619733201"/>
        <n v="502.57511548882098"/>
        <n v="466.55281218923"/>
        <n v="480.54676241081899"/>
        <n v="538.39475105449196"/>
        <n v="515.80991152695105"/>
        <n v="490.22501836099002"/>
        <n v="475.40894649576802"/>
        <n v="482.80638360150903"/>
        <n v="415.70988290835601"/>
        <n v="508.57480607192798"/>
        <n v="513.30351222524405"/>
        <n v="498.48110908611397"/>
        <n v="501.43533182058002"/>
        <n v="501.10006223380498"/>
        <n v="460.77485582643698"/>
        <n v="512.86357860040903"/>
        <n v="492.78613611500703"/>
        <n v="493.42235622743999"/>
        <n v="505.50581553303698"/>
        <n v="425.48950886493702"/>
        <n v="509.22150294191903"/>
        <n v="496.24243416488702"/>
        <n v="496.440510669172"/>
        <n v="521.49474717952205"/>
        <n v="505.78124786171099"/>
        <n v="504.86765413889799"/>
        <n v="525.44129324696405"/>
        <n v="444.93392073443601"/>
        <n v="398.67863163391502"/>
        <n v="429.35096779493699"/>
        <n v="508.29908084957799"/>
        <n v="498.474202800223"/>
        <n v="541.40475753808505"/>
        <n v="545.441941092923"/>
        <n v="498.97089524164801"/>
        <n v="524.12080035284896"/>
        <n v="466.72203014280097"/>
        <n v="494.30235211289403"/>
        <n v="478.15459739129699"/>
        <n v="522.00396026812905"/>
        <n v="470.07266281958698"/>
        <n v="493.54148289396102"/>
        <n v="546.735600624006"/>
        <n v="537.78762292575095"/>
        <n v="502.18619364491798"/>
        <n v="495.70008766318301"/>
        <n v="491.21517621529"/>
        <n v="414.92014787645502"/>
        <n v="522.055822811447"/>
        <n v="515.63631934274804"/>
        <n v="494.52393549363802"/>
        <n v="525.81644681878504"/>
        <n v="489.27473296155398"/>
        <n v="471.19317782033602"/>
        <n v="514.14255600312595"/>
        <n v="496.44582397149401"/>
        <n v="484.79896659908502"/>
        <n v="515.29752440674099"/>
        <n v="463.41290982528801"/>
        <n v="514.12932195946996"/>
        <n v="497.40981237084497"/>
        <n v="497.72256440588001"/>
        <n v="527.27053393684696"/>
        <n v="494.32767315443903"/>
        <n v="506.57552613935798"/>
        <n v="528.70495299930201"/>
        <n v="447.46736017641899"/>
        <n v="401.75011504662098"/>
        <n v="500.49706594167702"/>
        <n v="499.33697468707499"/>
        <n v="527.83175605917904"/>
        <n v="554.07950978242297"/>
        <n v="498.226893935058"/>
        <n v="520.40534953520103"/>
        <n v="470.11576423397702"/>
        <n v="502.64274825215199"/>
        <n v="495.59849861364398"/>
        <n v="507.98415378913501"/>
        <n v="454.85096320008"/>
        <n v="488.83136268583002"/>
        <n v="539.43099340837296"/>
        <n v="537.986230069057"/>
        <n v="493.87892390422098"/>
        <n v="491.40979082965703"/>
        <n v="483.92842084479997"/>
        <n v="415.90867224109599"/>
        <n v="522.21812830240594"/>
        <n v="532.00690122586298"/>
        <n v="499.87569983617499"/>
        <n v="508.068297201966"/>
        <n v="492.94996731562901"/>
        <n v="490.26592193521998"/>
        <n v="511.75947309730498"/>
        <n v="488.25463023125798"/>
        <n v="495.10589771192798"/>
        <n v="516.56751012167501"/>
        <n v="453.90971809555901"/>
        <n v="513.71023993296205"/>
        <n v="502.00226454398199"/>
        <n v="494.804917460826"/>
        <n v="526.87958904686604"/>
        <n v="510.83715451822502"/>
        <n v="510.363484146053"/>
        <n v="534.46977740356795"/>
        <n v="438.17744507643903"/>
        <n v="388.038271758836"/>
        <n v="512.86074591790805"/>
        <n v="495.89431015439402"/>
        <n v="531.39180431083503"/>
        <n v="563.32283453827404"/>
        <n v="495.21983899188098"/>
        <n v="515.64912987563901"/>
        <n v="473.37796397649299"/>
        <n v="503.931728969483"/>
        <n v="490.79377445115603"/>
        <n v="508.32892994343598"/>
        <n v="453.90370808611198"/>
        <n v="475.39722054935902"/>
        <n v="531.38850905181198"/>
        <n v="522.14814133481696"/>
        <n v="489.54377817062402"/>
        <n v="487.95669825500602"/>
        <n v="486.32436296630601"/>
        <n v="409.65195163437602"/>
        <n v="524.86150629401095"/>
        <n v="530.38436076112498"/>
        <n v="486.52795747727203"/>
        <n v="497.806502274107"/>
        <n v="474.30588915776099"/>
        <n v="488.433398569752"/>
        <n v="518.81560980213897"/>
        <n v="488.42452269356698"/>
        <n v="503.33400592654903"/>
        <n v="511.52390948570599"/>
        <n v="423.83274522053301"/>
        <n v="514.77354794106702"/>
        <n v="488.906837319065"/>
      </sharedItems>
    </cacheField>
    <cacheField name="reading scale Average" numFmtId="2">
      <sharedItems containsMixedTypes="1" containsNumber="1" minValue="385.30803847102101" maxValue="556.02191025739501" count="294">
        <n v="475.588873477959"/>
        <n v="498.05093978372099"/>
        <n v="480.40584721829902"/>
        <n v="478.852668384217"/>
        <n v="507.13289582796602"/>
        <n v="447.97895734953102"/>
        <n v="408.66502644949003"/>
        <n v="415.23308021173199"/>
        <n v="488.60366867451103"/>
        <n v="488.80099073132698"/>
        <n v="511.03033147055498"/>
        <n v="490.21768492422501"/>
        <n v="473.85215790454299"/>
        <n v="479.794024717816"/>
        <n v="438.44062513755603"/>
        <n v="472.97472595734598"/>
        <n v="435.92299455682598"/>
        <n v="516.00997511441506"/>
        <n v="473.83269836397801"/>
        <n v="481.59827768793701"/>
        <n v="515.85461354437098"/>
        <n v="515.41539209757502"/>
        <n v="474.568650865282"/>
        <n v="471.83423007622298"/>
        <s v="—"/>
        <n v="415.35896204424199"/>
        <n v="459.24290800804999"/>
        <n v="500.85301088740101"/>
        <n v="476.52387797394402"/>
        <n v="488.71362897567002"/>
        <n v="476.58861115946502"/>
        <n v="446.86060741273002"/>
        <n v="468.536012818328"/>
        <n v="474.30711244891199"/>
        <n v="486.97515580614299"/>
        <n v="483.331733841465"/>
        <n v="456.08404067810699"/>
        <n v="494.40462610659199"/>
        <n v="503.93757347399901"/>
        <n v="485.48740625811502"/>
        <n v="502.63172429646698"/>
        <n v="484.39256846788697"/>
        <n v="492.86443865136602"/>
        <n v="520.08552094974402"/>
        <n v="452.27255418349699"/>
        <n v="412.29508499344502"/>
        <n v="426.49822500968099"/>
        <n v="490.21881483645501"/>
        <n v="501.12993370997702"/>
        <n v="523.01701836823804"/>
        <n v="520.07874819168296"/>
        <n v="492.60647919679298"/>
        <n v="498.27925694649701"/>
        <n v="457.41439476568701"/>
        <n v="475.98667224904398"/>
        <n v="473.97431690660102"/>
        <n v="518.07845920921795"/>
        <n v="470.415177988484"/>
        <n v="476.28467929067398"/>
        <n v="503.85604095964402"/>
        <n v="514.05228824343806"/>
        <n v="478.69867415764003"/>
        <n v="475.87347969004702"/>
        <n v="469.98538925379802"/>
        <n v="420.46889230123099"/>
        <n v="484.78372510872703"/>
        <n v="505.72728341639299"/>
        <n v="499.45095625260598"/>
        <n v="511.85569538941098"/>
        <n v="491.80078514823902"/>
        <n v="457.98396699154802"/>
        <n v="495.34561516068999"/>
        <n v="505.78522048463202"/>
        <n v="483.929405173948"/>
        <n v="465.63166568819503"/>
        <n v="503.92810939577998"/>
        <n v="505.35277052284999"/>
        <n v="488.526608059051"/>
        <n v="502.90055980855902"/>
        <n v="484.865597140278"/>
        <n v="498.52418918572801"/>
        <n v="526.66780542068796"/>
        <n v="458.57087611457803"/>
        <n v="424.90516701641701"/>
        <n v="427.48754820691403"/>
        <n v="487.25014126560899"/>
        <n v="499.81458410251298"/>
        <n v="519.14285500090102"/>
        <n v="526.42474708611996"/>
        <n v="499.30614190209502"/>
        <n v="509.10413866880702"/>
        <n v="467.03953791180999"/>
        <n v="469.523257871731"/>
        <n v="481.52554099327199"/>
        <n v="520.81484125269299"/>
        <n v="478.96064266007699"/>
        <n v="484.75799607622002"/>
        <n v="515.958479907217"/>
        <n v="517.436709705064"/>
        <n v="487.758098543551"/>
        <n v="472.406552219942"/>
        <n v="481.43909729990798"/>
        <n v="423.27647921834301"/>
        <n v="502.95905117365498"/>
        <n v="509.27071261803002"/>
        <n v="513.19117283773505"/>
        <n v="505.697070414596"/>
        <n v="498.12890562716899"/>
        <n v="452.51433687693998"/>
        <n v="505.215880573471"/>
        <n v="495.57643530057902"/>
        <n v="500.15560659666698"/>
        <n v="492.19822858389898"/>
        <n v="428.335092574425"/>
        <n v="497.971931138743"/>
        <n v="496.935097348993"/>
        <n v="491.82120671966902"/>
        <n v="511.80399763569898"/>
        <n v="489.60933516583799"/>
        <n v="508.61787650267303"/>
        <n v="523.12400306906704"/>
        <n v="441.39816388760499"/>
        <n v="403.40253417693202"/>
        <n v="440.54781073631801"/>
        <n v="492.88973841498"/>
        <n v="496.13088148258601"/>
        <n v="516.29418441452401"/>
        <n v="524.02166977668503"/>
        <n v="505.48148333138801"/>
        <n v="507.67652964237402"/>
        <n v="477.19717660127299"/>
        <n v="488.46133394055499"/>
        <n v="482.52244001748898"/>
        <n v="523.17321009689999"/>
        <n v="485.80321257056301"/>
        <n v="489.75440334375702"/>
        <n v="538.05148481841297"/>
        <n v="535.79049010839105"/>
        <n v="488.69441408065802"/>
        <n v="477.30661192754098"/>
        <n v="487.80704255425701"/>
        <n v="423.55376187574097"/>
        <n v="511.22996538394801"/>
        <n v="512.18679325958794"/>
        <n v="503.93668577694899"/>
        <n v="518.18688068084202"/>
        <n v="487.75768734694901"/>
        <n v="462.76703263033897"/>
        <n v="481.31628351531202"/>
        <n v="487.93918158519199"/>
        <n v="483.33500568029501"/>
        <n v="509.04024971276601"/>
        <n v="475.49146628233302"/>
        <n v="499.32311527682799"/>
        <n v="497.58171804388502"/>
        <n v="490.34379242242301"/>
        <n v="514.90065528206105"/>
        <n v="470.28363210139997"/>
        <n v="505.94579616412102"/>
        <n v="524.24183332320899"/>
        <n v="449.36960714807998"/>
        <n v="413.18149910983999"/>
        <n v="478.18672044853002"/>
        <n v="494.91616167816301"/>
        <n v="500.96186544679603"/>
        <n v="535.87798452526897"/>
        <n v="495.61654146316602"/>
        <n v="497.30505802512499"/>
        <n v="482.77624179793298"/>
        <n v="494.17875325243602"/>
        <n v="500.28331929787998"/>
        <n v="495.63910860859397"/>
        <n v="473.98995056169298"/>
        <n v="486.05109875799599"/>
        <n v="519.85772235673801"/>
        <n v="539.26748386275597"/>
        <n v="483.96014543481402"/>
        <n v="468.44273446848598"/>
        <n v="472.17338668546802"/>
        <n v="425.26529925977502"/>
        <n v="508.40372291433602"/>
        <n v="520.880008657556"/>
        <n v="503.230020395488"/>
        <n v="500.47848258901899"/>
        <n v="489.33492384315502"/>
        <n v="477.44335249992002"/>
        <n v="483.08204215963599"/>
        <n v="481.04232598787502"/>
        <n v="497.44942333732803"/>
        <n v="500.50021174581099"/>
        <n v="464.19437532196503"/>
        <n v="494.18201003475798"/>
        <n v="499.82682108248599"/>
        <n v="485.35360533523902"/>
        <n v="512.893291590888"/>
        <n v="490.19397738161098"/>
        <n v="500.90059468125497"/>
        <n v="527.01129558842604"/>
        <n v="442.09134568743701"/>
        <n v="385.30803847102101"/>
        <n v="482.71516200118299"/>
        <n v="494.48298106448698"/>
        <n v="500.74976179293498"/>
        <n v="546.86828132255903"/>
        <n v="487.70624693394001"/>
        <n v="494.94441793196"/>
        <n v="459.71118469304503"/>
        <n v="482.37451747530298"/>
        <n v="484.44527196361798"/>
        <n v="517.31323821893602"/>
        <n v="438.67227483925001"/>
        <n v="468.52310872731601"/>
        <n v="497.95706874513201"/>
        <n v="556.02191025739501"/>
        <n v="479.49183543223899"/>
        <n v="470.07075567321198"/>
        <n v="479.36654157018103"/>
        <n v="410.496454832805"/>
        <n v="506.74697098667201"/>
        <n v="521.032645066486"/>
        <n v="484.29256304037301"/>
        <n v="507.63952725124301"/>
        <n v="472.30430504318798"/>
        <n v="466.349768837243"/>
        <n v="494.40903688263001"/>
        <n v="460.83011207178703"/>
        <n v="507.312880170987"/>
        <n v="499.27778379805699"/>
        <n v="447.14113249126899"/>
        <n v="495.08350955251501"/>
        <n v="494.08596622219397"/>
        <n v="525.42700679996597"/>
        <n v="490.69324048785802"/>
        <n v="506.98733242324499"/>
        <n v="527.91361185490598"/>
        <n v="488.542284443754"/>
        <n v="492.32337953296701"/>
        <n v="543.46254335307697"/>
        <n v="496.18878489734499"/>
        <n v="491.35799855495998"/>
        <n v="472.26687672760897"/>
        <n v="481.86969454430198"/>
        <n v="491.74696036974001"/>
        <n v="515.48007697650905"/>
        <n v="475.66158080912999"/>
        <n v="498.10520624030198"/>
        <n v="534.09126470026104"/>
        <n v="490.56253386056801"/>
        <n v="479.42258352955702"/>
        <n v="399.72192751583702"/>
        <n v="513.11897054497899"/>
        <n v="521.55151036560801"/>
        <n v="499.74023387254101"/>
        <n v="496.60526603965099"/>
        <n v="477.56864560801"/>
        <n v="469.15903330546502"/>
        <n v="480.53799071370099"/>
        <n v="514.26741266579995"/>
        <n v="499.12139915198702"/>
        <n v="440.97098880115601"/>
        <n v="507.01274902318499"/>
        <n v="495.185865174036"/>
        <n v="493.49098699023898"/>
        <n v="528.27850464555604"/>
        <n v="492.05600717267902"/>
        <n v="507.12589041176301"/>
        <n v="534.31271906357802"/>
        <n v="409.55678198189599"/>
        <n v="491.577032406532"/>
        <n v="496.87096638103202"/>
        <n v="546.46914455615104"/>
        <n v="504.74238850818301"/>
        <n v="483.99082368004503"/>
        <n v="473.79885132714202"/>
        <n v="479.96677766687799"/>
        <n v="506.93046160478502"/>
        <n v="526.66864916239297"/>
        <n v="452.17240434671498"/>
        <n v="487.46964519571401"/>
        <n v="522.23492859232601"/>
        <n v="524.75429869978802"/>
        <n v="458.07108201582298"/>
        <n v="441.24582260618098"/>
        <n v="421.96063013990198"/>
        <s v="‡"/>
        <n v="528.79973199073504"/>
        <n v="505.28098857243702"/>
        <n v="479.12168786049"/>
        <n v="470.154622154989"/>
        <n v="492.552969076338"/>
        <n v="516.33118578200697"/>
        <n v="494.37161887512502"/>
        <n v="523.44330365508802"/>
        <n v="504.41969157489302"/>
      </sharedItems>
    </cacheField>
    <cacheField name="status of parents (hisei) Average" numFmtId="2">
      <sharedItems containsMixedTypes="1" containsNumber="1" minValue="35.035973192682498" maxValue="62.2895475661348"/>
    </cacheField>
    <cacheField name="experience of being bullied Average" numFmtId="2">
      <sharedItems containsMixedTypes="1" containsNumber="1" minValue="-0.91216038520979703" maxValue="0.37125194957976398"/>
    </cacheField>
    <cacheField name="access to money Average" numFmtId="2">
      <sharedItems containsMixedTypes="1" containsNumber="1" minValue="-0.29024495095217501" maxValue="0.15479597412384399"/>
    </cacheField>
    <cacheField name="current support for learning at home Average" numFmtId="2">
      <sharedItems containsMixedTypes="1" containsNumber="1" minValue="-0.91613067232784196" maxValue="0.39159936631306602"/>
    </cacheField>
    <cacheField name=" index teacher support in mathematics lessons Average" numFmtId="2">
      <sharedItems containsMixedTypes="1" containsNumber="1" minValue="-0.6856662357412" maxValue="0.57321857363358397"/>
    </cacheField>
    <cacheField name="Class Period Mathematics Average" numFmtId="2">
      <sharedItems containsMixedTypes="1" containsNumber="1" minValue="2.8426631451581601" maxValue="6.7672065209186698"/>
    </cacheField>
    <cacheField name="Class Period Science Average" numFmtId="2">
      <sharedItems containsMixedTypes="1" containsNumber="1" minValue="2.0000000000000102" maxValue="6.6254094939330104"/>
    </cacheField>
    <cacheField name=" Class Periods Language Average" numFmtId="2">
      <sharedItems containsMixedTypes="1" containsNumber="1" minValue="2.37308618614591" maxValue="6.7357728596619602"/>
    </cacheField>
    <cacheField name="number of students  Average" numFmtId="2">
      <sharedItems containsMixedTypes="1" containsNumber="1" minValue="40.867231949013899" maxValue="402.286277568998"/>
    </cacheField>
    <cacheField name="student-teacher ratio Average" numFmtId="2">
      <sharedItems containsMixedTypes="1" containsNumber="1" minValue="8.0833072245588493" maxValue="33.6575649719342"/>
    </cacheField>
    <cacheField name=" teachers fully certified Average" numFmtId="2">
      <sharedItems containsMixedTypes="1" containsNumber="1" minValue="0.1" maxValue="0.99"/>
    </cacheField>
    <cacheField name="sense of belonging to school  Average" numFmtId="2">
      <sharedItems containsMixedTypes="1" containsNumber="1" minValue="-0.50080074388252405" maxValue="0.54935322778412399"/>
    </cacheField>
    <cacheField name="parent attitudes toward mathematics Average" numFmtId="2">
      <sharedItems containsMixedTypes="1" containsNumber="1" minValue="-0.47347519740696697" maxValue="0.180623870572616"/>
    </cacheField>
    <cacheField name="economic. social and cultural status Average" numFmtId="2">
      <sharedItems containsMixedTypes="1" containsNumber="1" minValue="-1.1854430482154501" maxValue="0.52149711444767299"/>
    </cacheField>
    <cacheField name="GINI INDICATOR" numFmtId="0">
      <sharedItems containsMixedTypes="1" containsNumber="1" minValue="0" maxValue="53.4" count="135">
        <s v="-"/>
        <n v="0"/>
        <n v="30.9"/>
        <n v="26.4"/>
        <n v="43"/>
        <n v="25.9"/>
        <n v="29.3"/>
        <n v="32.299999999999997"/>
        <n v="27.9"/>
        <n v="31.2"/>
        <n v="33.4"/>
        <n v="29.9"/>
        <n v="33.700000000000003"/>
        <n v="36.6"/>
        <n v="34.1"/>
        <n v="43.5"/>
        <n v="26.9"/>
        <n v="28.9"/>
        <n v="36.299999999999997"/>
        <n v="24.3"/>
        <n v="33.6"/>
        <n v="31.6"/>
        <n v="33.799999999999997"/>
        <n v="44.5"/>
        <n v="41.7"/>
        <n v="34.299999999999997"/>
        <n v="30.8"/>
        <n v="27.2"/>
        <n v="32.5"/>
        <n v="25"/>
        <n v="28.2"/>
        <n v="30.3"/>
        <n v="27.3"/>
        <n v="32.4"/>
        <n v="31.9"/>
        <n v="32.9"/>
        <n v="26.6"/>
        <n v="30.6"/>
        <n v="38.6"/>
        <n v="35.200000000000003"/>
        <n v="35.1"/>
        <n v="35.700000000000003"/>
        <n v="35.4"/>
        <n v="46"/>
        <n v="28.1"/>
        <n v="27.6"/>
        <n v="30.2"/>
        <n v="33.5"/>
        <n v="24.6"/>
        <n v="34.700000000000003"/>
        <n v="30"/>
        <n v="33.1"/>
        <n v="42.4"/>
        <n v="41.8"/>
        <n v="30.5"/>
        <n v="27.7"/>
        <n v="45.3"/>
        <n v="32.700000000000003"/>
        <n v="27.1"/>
        <n v="31.7"/>
        <n v="36"/>
        <n v="30.4"/>
        <n v="26.8"/>
        <n v="31.8"/>
        <n v="39.700000000000003"/>
        <n v="30.7"/>
        <n v="34.200000000000003"/>
        <n v="37.4"/>
        <n v="27.5"/>
        <n v="35.5"/>
        <n v="25.4"/>
        <n v="36.200000000000003"/>
        <n v="29.2"/>
        <n v="42.9"/>
        <n v="33.299999999999997"/>
        <n v="41.5"/>
        <n v="26.1"/>
        <n v="27.8"/>
        <n v="31.1"/>
        <n v="33.200000000000003"/>
        <n v="41.3"/>
        <n v="49.6"/>
        <n v="25.7"/>
        <n v="33"/>
        <n v="25.6"/>
        <n v="40.200000000000003"/>
        <n v="41.2"/>
        <n v="31.5"/>
        <n v="28.6"/>
        <n v="34"/>
        <n v="47.4"/>
        <n v="26.2"/>
        <n v="26.7"/>
        <n v="31.4"/>
        <n v="27"/>
        <n v="28.7"/>
        <n v="42.6"/>
        <n v="35.9"/>
        <n v="37.200000000000003"/>
        <n v="34.9"/>
        <n v="24.8"/>
        <n v="39"/>
        <n v="40.799999999999997"/>
        <n v="29.6"/>
        <n v="47.7"/>
        <n v="28"/>
        <n v="29.7"/>
        <n v="31"/>
        <n v="28.3"/>
        <n v="41.6"/>
        <n v="35.6"/>
        <n v="34.4"/>
        <n v="49.7"/>
        <n v="38.1"/>
        <n v="24.4"/>
        <n v="33.9"/>
        <n v="39.6"/>
        <n v="29.5"/>
        <n v="51.5"/>
        <n v="29.8"/>
        <n v="32.799999999999997"/>
        <n v="40.700000000000003"/>
        <n v="36.5"/>
        <n v="38.799999999999997"/>
        <n v="25.3"/>
        <n v="42.2"/>
        <n v="29"/>
        <n v="52.8"/>
        <n v="23.8"/>
        <n v="35.799999999999997"/>
        <n v="32.6"/>
        <n v="30.1"/>
        <n v="53.4"/>
        <n v="27.4"/>
        <n v="40.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PTISTE NOEL" refreshedDate="46090.759719560185" createdVersion="8" refreshedVersion="8" minRefreshableVersion="3" recordCount="312" xr:uid="{608A5588-883E-7941-A6FF-04C7EB4E7142}">
  <cacheSource type="worksheet">
    <worksheetSource ref="A1:Y313" sheet="DATA"/>
  </cacheSource>
  <cacheFields count="25">
    <cacheField name="Year/Study" numFmtId="0">
      <sharedItems containsSemiMixedTypes="0" containsString="0" containsNumber="1" containsInteger="1" minValue="2000" maxValue="2022" count="8">
        <n v="2022"/>
        <n v="2018"/>
        <n v="2015"/>
        <n v="2012"/>
        <n v="2009"/>
        <n v="2006"/>
        <n v="2003"/>
        <n v="2000"/>
      </sharedItems>
    </cacheField>
    <cacheField name="Jurisdiction" numFmtId="0">
      <sharedItems count="39">
        <s v="International Average (OECD)"/>
        <s v="Australia"/>
        <s v="Austria"/>
        <s v="Belgium"/>
        <s v="Canada"/>
        <s v="Chile"/>
        <s v="Colombia"/>
        <s v="Costa Rica"/>
        <s v="Czech Republic"/>
        <s v="Denmark"/>
        <s v="Estonia"/>
        <s v="Finland"/>
        <s v="France"/>
        <s v="Germany"/>
        <s v="Greece"/>
        <s v="Hungary"/>
        <s v="Iceland"/>
        <s v="Ireland"/>
        <s v="Israel"/>
        <s v="Italy"/>
        <s v="Japan"/>
        <s v="Korea"/>
        <s v="Latvia"/>
        <s v="Lithuania"/>
        <s v="Luxembourg"/>
        <s v="Mexico"/>
        <s v="Netherlands"/>
        <s v="New Zealand"/>
        <s v="Norway"/>
        <s v="Poland"/>
        <s v="Portugal"/>
        <s v="Slovak Republic"/>
        <s v="Slovenia"/>
        <s v="Spain"/>
        <s v="Sweden"/>
        <s v="Switzerland"/>
        <s v="Türkiye"/>
        <s v="United Kingdom"/>
        <s v="United States"/>
      </sharedItems>
    </cacheField>
    <cacheField name="Mathematics scale Average" numFmtId="2">
      <sharedItems containsBlank="1" containsMixedTypes="1" containsNumber="1" minValue="369.97851351992603" maxValue="553.76665874982803"/>
    </cacheField>
    <cacheField name="science scale Average" numFmtId="2">
      <sharedItems containsBlank="1" containsMixedTypes="1" containsNumber="1" minValue="388.038271758836" maxValue="563.32283453827404"/>
    </cacheField>
    <cacheField name="reading scale Average" numFmtId="2">
      <sharedItems containsBlank="1" containsMixedTypes="1" containsNumber="1" minValue="385.30803847102101" maxValue="556.02191025739501"/>
    </cacheField>
    <cacheField name="status of parents (hisei) Average" numFmtId="2">
      <sharedItems containsBlank="1" containsMixedTypes="1" containsNumber="1" minValue="35.035973192682498" maxValue="62.2895475661348" count="294">
        <n v="53.700492277130401"/>
        <n v="59.2938153817882"/>
        <n v="53.055445060791499"/>
        <n v="53.389593791386901"/>
        <n v="58.694251785425301"/>
        <n v="44.127175128271602"/>
        <n v="41.000777965089902"/>
        <s v="—"/>
        <n v="50.883136085851703"/>
        <n v="62.2895475661348"/>
        <n v="54.918360740770098"/>
        <n v="55.5098570253612"/>
        <n v="53.075123600931697"/>
        <n v="51.9"/>
        <n v="51.139757603799303"/>
        <n v="51.0779321227051"/>
        <n v="60.4632455431748"/>
        <n v="59.7250783642708"/>
        <n v="61.953581547711998"/>
        <n v="49.431773601209798"/>
        <n v="53.927255096493802"/>
        <n v="57.819385743463997"/>
        <n v="52.225842533400602"/>
        <n v="54.7"/>
        <m/>
        <n v="42.558595335075097"/>
        <n v="56.238312710181198"/>
        <n v="58.007255189024903"/>
        <n v="62.286994493112203"/>
        <n v="52.034069969783801"/>
        <n v="51.018857875373001"/>
        <n v="47.569681000507202"/>
        <n v="57.661959040732"/>
        <n v="51.033223361263303"/>
        <n v="59.230088364809703"/>
        <n v="54.882829399558098"/>
        <n v="38.339120135393401"/>
        <n v="56.6"/>
        <n v="55.072900733762197"/>
        <n v="52.040819274654602"/>
        <n v="55.838370313279"/>
        <n v="50.816090118803999"/>
        <n v="52.423091428125304"/>
        <n v="57.525021777615699"/>
        <n v="43.940946033980701"/>
        <n v="41.625793545919699"/>
        <n v="42.9604113805132"/>
        <n v="49.069037385213299"/>
        <n v="60.0072113302773"/>
        <n v="53.467227718401197"/>
        <n v="55.837642154626998"/>
        <n v="51.481305041029898"/>
        <n v="51.8"/>
        <n v="50.1310868196786"/>
        <n v="50.6836530342459"/>
        <n v="60.592642597089203"/>
        <n v="52.733955708510898"/>
        <n v="60.4530243976698"/>
        <n v="47.273325688729301"/>
        <n v="52.246421155656599"/>
        <n v="52.468691166633803"/>
        <n v="53.523363436237197"/>
        <n v="53.082500934408102"/>
        <n v="51.431956180237897"/>
        <n v="40.825099129267201"/>
        <n v="55.188743803178603"/>
        <n v="56.241265292869599"/>
        <n v="61.599728248678403"/>
        <n v="49.757149764191503"/>
        <n v="49.519760691685399"/>
        <n v="48.555174029646103"/>
        <n v="52.314159419482998"/>
        <n v="48.628161164909898"/>
        <n v="59.502446829674597"/>
        <n v="52.582677818243098"/>
        <n v="37.711605640465599"/>
        <n v="58.025653797613302"/>
        <n v="55.729902578285603"/>
        <n v="51.372553597854598"/>
        <n v="57.479633975525601"/>
        <n v="51.331178394277302"/>
        <n v="52.706326057829799"/>
        <n v="58.064489652140701"/>
        <n v="44.582644336623801"/>
        <n v="42.556107136157003"/>
        <n v="45.237106516853203"/>
        <n v="47.533651684034403"/>
        <n v="56.202913715077202"/>
        <n v="52.321571977349699"/>
        <n v="52.962594626885597"/>
        <n v="51.308749358400902"/>
        <n v="51.503170307199703"/>
        <n v="50.010886851437398"/>
        <n v="47.577021392919697"/>
        <n v="60.408808299301"/>
        <n v="52.834752101223799"/>
        <n v="59.8477637926296"/>
        <n v="49.651665627949598"/>
        <n v="50.590243925628997"/>
        <n v="52.127836626395002"/>
        <n v="50.975665706441497"/>
        <n v="51.556582501024302"/>
        <n v="48.788617418681"/>
        <n v="39.972752022600801"/>
        <n v="54.491082666435197"/>
        <n v="57.377247346542397"/>
        <n v="61.7679745099367"/>
        <n v="45.683914946399803"/>
        <n v="48.631210017464497"/>
        <n v="47.794081344254003"/>
        <n v="52.314897828444899"/>
        <n v="47.968050173483498"/>
        <n v="57.730117112662597"/>
        <n v="53.037899395018798"/>
        <n v="36.695698546352197"/>
        <n v="56.3972897575877"/>
        <n v="54.134839069303901"/>
        <n v="50.039313301809997"/>
        <n v="57.388256405606597"/>
        <n v="48.922825469931098"/>
        <n v="51.616551853544699"/>
        <n v="55.3708504479509"/>
        <n v="40.844594344803902"/>
        <n v="39.5038257937765"/>
        <n v="42.249934572105303"/>
        <n v="47.2052664538244"/>
        <n v="54.660596737944502"/>
        <n v="50.675842884481"/>
        <n v="55.565568351584403"/>
        <n v="51.837688565153201"/>
        <n v="50.910109584021299"/>
        <n v="48.542146434638298"/>
        <n v="46.137342343592898"/>
        <n v="58.482470642434201"/>
        <n v="52.467079293302099"/>
        <n v="58.629779096318799"/>
        <n v="46.724180618617098"/>
        <n v="50.019374844067897"/>
        <n v="53.382990584548303"/>
        <n v="48.118613452274097"/>
        <n v="49.869013180750201"/>
        <n v="49.0895736705424"/>
        <n v="39.675571312453201"/>
        <n v="56.2777351039162"/>
        <n v="55.021772982723903"/>
        <n v="58.900983686322299"/>
        <n v="45.071987351801297"/>
        <n v="42.642108560750998"/>
        <n v="43.046288778947101"/>
        <n v="51.170587324215802"/>
        <n v="46.946895168898799"/>
        <n v="54.561153208555901"/>
        <n v="55.013893329068097"/>
        <n v="35.035973192682498"/>
        <n v="55.592350627108402"/>
        <n v="54.322129215521898"/>
        <n v="49.010175894067601"/>
        <n v="53.239646700833802"/>
        <n v="48.361829126594301"/>
        <n v="50.1078736464071"/>
        <n v="53.258530498795302"/>
        <n v="43.053094078171497"/>
        <n v="41.567633607920797"/>
        <n v="48.091353992619702"/>
        <n v="50.9340685017401"/>
        <n v="50.155986618533902"/>
        <n v="53.068509892031301"/>
        <n v="46.906422540030199"/>
        <n v="48.912976373664698"/>
        <n v="48.748088471157097"/>
        <n v="47.634867501339698"/>
        <n v="55.946338368557797"/>
        <n v="49.920109841849701"/>
        <n v="53.088066273728799"/>
        <n v="46.864525852412903"/>
        <n v="51.488392887195303"/>
        <n v="50.089114596013303"/>
        <n v="47.431071068602101"/>
        <n v="49.534208425806398"/>
        <n v="48.072678795105702"/>
        <n v="41.250733371016601"/>
        <n v="51.486616331714302"/>
        <n v="52.155507233835301"/>
        <n v="55.397043749832399"/>
        <n v="44.650969454736199"/>
        <n v="44.145032305277901"/>
        <n v="45.676710300204"/>
        <n v="50.336061235661901"/>
        <n v="45.854583393546001"/>
        <n v="52.2451110295899"/>
        <n v="50.598001276725903"/>
        <n v="41.256196879418802"/>
        <n v="49.823184956683797"/>
        <n v="52.025368903145399"/>
        <n v="48.534012497418999"/>
        <n v="53.018056351768699"/>
        <n v="48.308602327102903"/>
        <n v="49.834235490218902"/>
        <n v="53.533891680144002"/>
        <n v="40.618960500520998"/>
        <n v="42.265660241211599"/>
        <n v="48.242716402044202"/>
        <n v="49.419843281885598"/>
        <n v="50.310362646546302"/>
        <n v="48.805933647432298"/>
        <n v="48.637807592644002"/>
        <n v="49.0409778743564"/>
        <n v="48.271585630206197"/>
        <n v="47.803841800985097"/>
        <n v="53.934122293192097"/>
        <n v="48.982868181988202"/>
        <n v="53.4"/>
        <n v="46.401239229454703"/>
        <n v="50.271259311312797"/>
        <n v="50.030898125258197"/>
        <n v="48.482673390402397"/>
        <n v="49.726001911021299"/>
        <n v="47.669735825540499"/>
        <n v="41.924683571628201"/>
        <n v="51.45689091565"/>
        <n v="51.581198583036098"/>
        <n v="53.111773224774403"/>
        <n v="44.398973994873799"/>
        <n v="41.680115270765803"/>
        <n v="47.246923146419803"/>
        <n v="49.8939180643086"/>
        <n v="44.813082635018397"/>
        <n v="50.672125113307402"/>
        <n v="49.215745138405403"/>
        <n v="39.575904584080497"/>
        <n v="50.661280325909999"/>
        <n v="52.528218789258901"/>
        <n v="48.833010680266"/>
        <n v="52.5896762491234"/>
        <n v="47.064909978896203"/>
        <n v="50.592867427687501"/>
        <n v="52.578392367133503"/>
        <n v="50.050773640367503"/>
        <n v="49.262173463832099"/>
        <n v="50.226454058197596"/>
        <n v="48.659709545128003"/>
        <n v="49.326426331805301"/>
        <n v="46.935241388566297"/>
        <n v="48.580184610879101"/>
        <n v="53.724320137988698"/>
        <n v="48.338116231728698"/>
        <n v="46.834203660301299"/>
        <n v="49.978127933634198"/>
        <n v="46.3196403819301"/>
        <n v="50.281780629113797"/>
        <n v="48.168665705724401"/>
        <n v="40.117212631912302"/>
        <n v="51.263038477320301"/>
        <n v="51.457566412527299"/>
        <n v="54.626967092901403"/>
        <n v="44.956447186340498"/>
        <n v="43.101363475631402"/>
        <n v="48.793041509428903"/>
        <n v="44.290638185391799"/>
        <n v="50.636359902954503"/>
        <n v="49.300102697863899"/>
        <n v="41.569053162006298"/>
        <n v="49.649915563786401"/>
        <n v="54.549961048143899"/>
        <n v="48.729426242488401"/>
        <n v="52.248209388132999"/>
        <n v="48.642239901387001"/>
        <n v="48.947513944057903"/>
        <n v="52.831933741663903"/>
        <n v="39.865088569555297"/>
        <n v="48.310360290198503"/>
        <n v="49.732987293789499"/>
        <n v="50.000953695938499"/>
        <n v="48.265041411429301"/>
        <n v="48.845168172855097"/>
        <n v="47.761023543123102"/>
        <n v="49.529048092103203"/>
        <n v="52.731379643337199"/>
        <n v="48.425117497073202"/>
        <n v="55.3"/>
        <n v="47.077065587373298"/>
        <n v="42.803791786511603"/>
        <n v="50.147735654730198"/>
        <n v="44.785303893121501"/>
        <n v="42.482574380902001"/>
        <n v="52.199971878049098"/>
        <n v="53.908833178723"/>
        <n v="46.029597048195697"/>
        <n v="43.847089183123003"/>
        <n v="44.991328830997901"/>
        <n v="50.568693516118003"/>
        <n v="49.209639232181097"/>
        <n v="51.258107745447703"/>
        <n v="52.403824133357098"/>
      </sharedItems>
    </cacheField>
    <cacheField name="experience of being bullied Average" numFmtId="2">
      <sharedItems containsBlank="1" containsMixedTypes="1" containsNumber="1" minValue="-0.91216038520979703" maxValue="0.4"/>
    </cacheField>
    <cacheField name="access to money Average" numFmtId="2">
      <sharedItems containsBlank="1" containsMixedTypes="1" containsNumber="1" minValue="-0.29024495095217501" maxValue="0.17" count="16">
        <n v="8.9982505435148895E-4"/>
        <s v="—"/>
        <n v="-2.3977471298647898E-2"/>
        <m/>
        <n v="0.03"/>
        <n v="-0.17"/>
        <n v="8.9187121488986304E-2"/>
        <n v="9.4962434502755405E-2"/>
        <n v="0.102845585336579"/>
        <n v="-0.14788418766639599"/>
        <n v="0.120860706830965"/>
        <n v="0.17"/>
        <n v="0.15479597412384399"/>
        <n v="-0.29024495095217501"/>
        <n v="-0.18675319333007701"/>
        <n v="6.8709947754207995E-2"/>
      </sharedItems>
    </cacheField>
    <cacheField name="current support for learning at home Average" numFmtId="2">
      <sharedItems containsBlank="1" containsMixedTypes="1" containsNumber="1" minValue="-0.91613067232784196" maxValue="0.39159936631306602"/>
    </cacheField>
    <cacheField name=" index teacher support in mathematics lessons Average" numFmtId="2">
      <sharedItems containsBlank="1" containsMixedTypes="1" containsNumber="1" minValue="-0.6856662357412" maxValue="0.57321857363358397"/>
    </cacheField>
    <cacheField name="Class Period Mathematics Average" numFmtId="2">
      <sharedItems containsBlank="1" containsMixedTypes="1" containsNumber="1" minValue="2.8426631451581601" maxValue="7" count="173">
        <n v="4.5655961258988897"/>
        <n v="4.4238075884357198"/>
        <n v="3.3233925163587599"/>
        <n v="4.2547463274023798"/>
        <n v="4"/>
        <n v="7"/>
        <n v="4.7308984082268504"/>
        <n v="5.2850632090373697"/>
        <n v="4.8302672398138498"/>
        <n v="5.6240251870440501"/>
        <n v="4.88334781872266"/>
        <n v="4.17620395868218"/>
        <n v="4.0397096028453596"/>
        <n v="5.1140539501420497"/>
        <n v="4.0257243012655604"/>
        <n v="5.5966186253997696"/>
        <n v="3.9201593014080198"/>
        <n v="5.5570429959530401"/>
        <n v="4.2584989280839398"/>
        <n v="4.9604932674958198"/>
        <n v="4.2119973382623597"/>
        <n v="6.0203955599466799"/>
        <n v="4.8032613839115301"/>
        <m/>
        <n v="4.0762894193450103"/>
        <n v="3.3344697240324499"/>
        <n v="4.2760902698255503"/>
        <n v="4.30809613055174"/>
        <n v="3.8103623352126501"/>
        <n v="4.0053628047240899"/>
        <n v="4.7756185389081196"/>
        <n v="4.0456451573249099"/>
        <n v="4.2212221780922397"/>
        <n v="4.3408893991424096"/>
        <n v="4.5518765427239103"/>
        <n v="5.63518500625824"/>
        <n v="5"/>
        <n v="3.6350664144739699"/>
        <n v="4.26917466571674"/>
        <n v="4.2863004080792404"/>
        <n v="3.0012034736222999"/>
        <n v="4.1603331487548401"/>
        <n v="4.0514912238883598"/>
        <n v="6"/>
        <n v="5.0055683882262096"/>
        <n v="4.16254034128489"/>
        <n v="4.6555540826248896"/>
        <n v="3.5127374006821501"/>
        <n v="4.4782190765671901"/>
        <n v="3.3335139118344999"/>
        <n v="5.1279967728439697"/>
        <n v="4.4958000276582597"/>
        <n v="4.77707438314921"/>
        <n v="3.6734779159350701"/>
        <n v="5.5541640665966598"/>
        <n v="3.9983540215083502"/>
        <n v="3.9943611920274198"/>
        <n v="4.2404637799123002"/>
        <n v="3"/>
        <n v="4.1132357465660601"/>
        <n v="3.6979864886087999"/>
        <n v="4.6851284385460401"/>
        <n v="3.86779015580955"/>
        <n v="3.6899337373400698"/>
        <n v="3.2442184435949599"/>
        <n v="5.6734996607956099"/>
        <n v="4.4559097700614601"/>
        <n v="3.9453451915642201"/>
        <n v="4.3023272740070597"/>
        <n v="4.3351604113384798"/>
        <n v="2.8426631451581601"/>
        <n v="4.0832328372651503"/>
        <n v="4.0314828592350596"/>
        <n v="6.7672065209186698"/>
        <n v="3.8365047065844999"/>
        <n v="5.0416390093724797"/>
        <n v="4.1247571326929604"/>
        <n v="5.0523837097427799"/>
        <n v="4.6794046098834796"/>
        <n v="3.6299533355230502"/>
        <n v="3.8713708509366"/>
        <n v="4.03362327895635"/>
        <n v="4.5669488503891502"/>
        <n v="3.4120522430136502"/>
        <n v="5.1999595006581298"/>
        <n v="4.7642604611145103"/>
        <n v="5.1265309750530896"/>
        <n v="3.9909050423360699"/>
        <n v="4.7458763771894601"/>
        <n v="4.2355416344547399"/>
        <n v="5.54718062090926"/>
        <n v="3.8640935759226598"/>
        <n v="3.9926313503503699"/>
        <n v="4.6350836618312199"/>
        <n v="3.0935967909816"/>
        <n v="4.2762807417712603"/>
        <n v="3.7751085799296198"/>
        <n v="4.6905520673829999"/>
        <n v="4.0197572684357601"/>
        <n v="4.1218489889012302"/>
        <n v="3.5974256953964199"/>
        <n v="3.89081765479275"/>
        <n v="3.2173876871544298"/>
        <n v="4.5576207772357096"/>
        <n v="5.51244925470853"/>
        <n v="4.2215762407625901"/>
        <n v="4.1035679639850704"/>
        <n v="4.2034372084948499"/>
        <n v="4.1559412597864096"/>
        <n v="4.4439752050935803"/>
        <n v="3.1120697797752799"/>
        <n v="4.0824549091609903"/>
        <n v="4.48816661385366"/>
        <n v="5.4078791198830203"/>
        <n v="3.8601648346903499"/>
        <s v="—"/>
        <n v="4.1518381139046197"/>
        <n v="4.3741346488728396"/>
        <n v="5.01743690098104"/>
        <n v="3.6711453384946799"/>
        <n v="3.8072446372687998"/>
        <n v="3.9899577512783599"/>
        <n v="4.3630275517252901"/>
        <n v="3.4560973945231601"/>
        <n v="5.4722035162205396"/>
        <n v="4.71359543110038"/>
        <n v="4.8236884922717396"/>
        <n v="4.2692620307146498"/>
        <n v="4.6598523713795901"/>
        <n v="4.3641822214239996"/>
        <n v="5.4853490906507796"/>
        <n v="3.83914470742137"/>
        <n v="3.9941077045879401"/>
        <n v="4.4833823068663197"/>
        <n v="3.3088340973837602"/>
        <n v="4.3583508367502599"/>
        <n v="3.0000000015689299"/>
        <n v="4.5370394610158202"/>
        <n v="2.8648146824474399"/>
        <n v="3.7655155698190699"/>
        <n v="3.6283876308236902"/>
        <n v="3.79340385647984"/>
        <n v="3.16783938344946"/>
        <n v="4.5028099833284099"/>
        <n v="4.3193752503195499"/>
        <n v="3.83791975771581"/>
        <n v="4.3551754288521796"/>
        <n v="4.0940571728314001"/>
        <n v="4.7158622627109601"/>
        <n v="2.9902106090474798"/>
        <n v="4.0343108787471902"/>
        <n v="4.2218438214755496"/>
        <n v="5.0234968443207197"/>
        <n v="3.65249873829401"/>
        <n v="3.4895608154256799"/>
        <n v="3.5867800835310999"/>
        <n v="3.7524900218625601"/>
        <n v="3.7564160011760701"/>
        <n v="5.78360777218961"/>
        <n v="4.7251741507301599"/>
        <n v="4.2514688985970697"/>
        <n v="4.01213929824275"/>
        <n v="4.7420441320965896"/>
        <n v="4.03820398088099"/>
        <n v="4.59343867390014"/>
        <n v="4.3340410686001398"/>
        <n v="2.9668016040293299"/>
        <n v="3.7113692701694898"/>
        <n v="3.1150792991082001"/>
        <n v="3.1805792075205299"/>
        <n v="4.7891102041770797"/>
        <n v="3.9401952022931401"/>
        <n v="3.4204092835467699"/>
      </sharedItems>
    </cacheField>
    <cacheField name="Class Period Science Average" numFmtId="2">
      <sharedItems containsBlank="1" containsMixedTypes="1" containsNumber="1" minValue="2.0000000000000102" maxValue="7.1" count="154">
        <s v="—"/>
        <m/>
        <n v="4.0234954311365199"/>
        <n v="3.79491727419573"/>
        <n v="4.0999999999999996"/>
        <n v="3.6630950118941001"/>
        <n v="3.9733781012084699"/>
        <n v="5.0999999999999996"/>
        <n v="3.1"/>
        <n v="5.6043639091989403"/>
        <n v="5.2695070214975104"/>
        <n v="4.3"/>
        <n v="4.7415593250329202"/>
        <n v="3.01756395490747"/>
        <n v="3"/>
        <n v="4.4000000000000004"/>
        <n v="4.6699933550643102"/>
        <n v="3.8378512933160098"/>
        <n v="2.9442548825625101"/>
        <n v="3.3526307070692298"/>
        <n v="2.5"/>
        <n v="3.3792362898050801"/>
        <n v="3.6060891526032801"/>
        <n v="5.8531661847442704"/>
        <n v="5.8186665129413102"/>
        <n v="3.6097246466812298"/>
        <n v="4.0820477179330199"/>
        <n v="5.2"/>
        <n v="4.2006702758040397"/>
        <n v="2.7097501780545499"/>
        <n v="3.7927412350967402"/>
        <n v="3.1259694645023002"/>
        <n v="3.3"/>
        <n v="4.3022846540431399"/>
        <n v="3.5"/>
        <n v="3.0601775969765801"/>
        <n v="4.9647511954641796"/>
        <n v="5.4791614350562803"/>
        <n v="3.97852847951467"/>
        <n v="4.2220742306829999"/>
        <n v="3.8441503439737601"/>
        <n v="5.7753644359292897"/>
        <n v="3.5027988545671498"/>
        <n v="3.9429085145097198"/>
        <n v="5.5707061664293303"/>
        <n v="3.48047442117731"/>
        <n v="5.5589778303734398"/>
        <n v="5.4701563351754796"/>
        <n v="4.1843282811593401"/>
        <n v="4.8277768803996102"/>
        <n v="3.5882757421138902"/>
        <n v="3.2283583663413"/>
        <n v="4.6796939163955802"/>
        <n v="5.03618869843553"/>
        <n v="4.15207534054659"/>
        <n v="3.04146220757888"/>
        <n v="3.6047542352734401"/>
        <n v="4.3894907466925597"/>
        <n v="2.70622509406099"/>
        <n v="3.4365727655940401"/>
        <n v="3.4445038364517502"/>
        <n v="6.3213680196712403"/>
        <n v="5.7732848141543203"/>
        <n v="3.7207943090547202"/>
        <n v="4.5001397643692203"/>
        <n v="5.1801803828523596"/>
        <n v="4.4257095103144399"/>
        <n v="2.74664286943786"/>
        <n v="3.9983280779321602"/>
        <n v="3.57483656304457"/>
        <n v="4.0894837936801602"/>
        <n v="4.6790721026924604"/>
        <n v="3.5512576395032598"/>
        <n v="3.0325110339805001"/>
        <n v="3.2870424262309701"/>
        <n v="4.9395291920137598"/>
        <n v="5.1178312846230298"/>
        <n v="4.0355659692200101"/>
        <n v="3.9422580794268498"/>
        <n v="4.2"/>
        <n v="4"/>
        <n v="3.2"/>
        <n v="4.7"/>
        <n v="4.8"/>
        <n v="3.4"/>
        <n v="3.9"/>
        <n v="2.6"/>
        <n v="3.6"/>
        <n v="3.7"/>
        <n v="2.4"/>
        <n v="5.7"/>
        <n v="7.1"/>
        <n v="2.8"/>
        <n v="3.8"/>
        <n v="3.9541751773090099"/>
        <n v="3.85492218849555"/>
        <n v="3.8950672510017501"/>
        <n v="3.4897661944245901"/>
        <n v="4.3833519422876996"/>
        <n v="5.0610223931129896"/>
        <n v="3.31436953337032"/>
        <n v="5.2698763659502603"/>
        <n v="3.4662604766552798"/>
        <n v="4.2958175334400801"/>
        <n v="4.1383008017296303"/>
        <n v="3.3947076143257"/>
        <n v="5"/>
        <n v="4.7632736485417402"/>
        <n v="3.4553179898765598"/>
        <n v="3.2740788298628201"/>
        <n v="3.37900688791634"/>
        <n v="3.0106456040254401"/>
        <n v="2.9259464700070699"/>
        <n v="3.61018452348819"/>
        <n v="6.5554936600412903"/>
        <n v="4.5089390247215002"/>
        <n v="3.2798903360870999"/>
        <n v="4.4172956449901504"/>
        <n v="4.3467975078342"/>
        <n v="2.0000000000000102"/>
        <n v="4.1789910809947299"/>
        <n v="4.7953252466835199"/>
        <n v="4.4448066041813901"/>
        <n v="3.8577188785777401"/>
        <n v="3.0277241742646401"/>
        <n v="3.8905054460285999"/>
        <n v="3.0477317959018602"/>
        <n v="4.9858433650391802"/>
        <n v="4.2963802825666804"/>
        <n v="4.1017290852602297"/>
        <n v="4.2550767941871097"/>
        <n v="3.12344755117629"/>
        <n v="2.7703643470455601"/>
        <n v="4.0723377912050696"/>
        <n v="5.3222412687265797"/>
        <n v="5.0412051632547996"/>
        <n v="4.4551682227395197"/>
        <n v="3.8278714720873701"/>
        <n v="4.3100833984918001"/>
        <n v="6.6254094939330104"/>
        <n v="2.5302626481325499"/>
        <n v="3.5478978546550701"/>
        <n v="4.1666935203838698"/>
        <n v="3.6863705501410902"/>
        <n v="5.0676985250271702"/>
        <n v="3.1442886408703901"/>
        <n v="6.1"/>
        <n v="4.6228455541573101"/>
        <n v="4.7943516413602403"/>
        <n v="3.3581968968682401"/>
        <n v="3.1958743293663399"/>
        <n v="3.5305439044284999"/>
        <n v="5.6618373494447303"/>
        <n v="3.3283908112716398"/>
      </sharedItems>
    </cacheField>
    <cacheField name=" Class Periods Language Average" numFmtId="2">
      <sharedItems containsBlank="1" containsMixedTypes="1" containsNumber="1" minValue="2.37308618614591" maxValue="6.9" count="157">
        <s v="—"/>
        <m/>
        <n v="4.2066354612645096"/>
        <n v="4.2319116975542501"/>
        <n v="3.10944633116108"/>
        <n v="4.2616487318968703"/>
        <n v="4.22386892081391"/>
        <n v="6"/>
        <n v="3.5"/>
        <n v="4.7234632522313396"/>
        <n v="4.0726785163058903"/>
        <n v="6.7"/>
        <n v="4.0553863667654602"/>
        <n v="3.0925960261641201"/>
        <n v="4"/>
        <n v="3.65881673874211"/>
        <n v="3.6321633917327198"/>
        <n v="5.1448874345742004"/>
        <n v="4.29992455229723"/>
        <n v="4.2"/>
        <n v="4.9000000000000004"/>
        <n v="4.2512051193596898"/>
        <n v="3.75134203373702"/>
        <n v="3.9566598612570298"/>
        <n v="4.6544749131846697"/>
        <n v="3.8862984119822102"/>
        <n v="4.0795285737725502"/>
        <n v="3.3"/>
        <n v="4.1909912763040902"/>
        <n v="4.2595947590656396"/>
        <n v="5.0262163569776197"/>
        <n v="3.5169437607821701"/>
        <n v="4.3"/>
        <n v="3.8910284383762002"/>
        <n v="3.8"/>
        <n v="3.0422392203237298"/>
        <n v="5.0323000697236502"/>
        <n v="4.5815978457628601"/>
        <n v="4.0885350882350302"/>
        <n v="4.2350935520048596"/>
        <n v="4.2906235144161498"/>
        <n v="2.8455197174859901"/>
        <n v="4.13776405925252"/>
        <n v="4.2257220265876496"/>
        <n v="6.3404201492165804"/>
        <n v="3.51371669664382"/>
        <n v="4.6641943779942103"/>
        <n v="4.0838480629701603"/>
        <n v="6.7357728596619602"/>
        <n v="4.1954195522634397"/>
        <n v="3.1504647656688398"/>
        <n v="4.06852020905204"/>
        <n v="4.1710219457038802"/>
        <n v="3.6223045823293099"/>
        <n v="3.62509783505085"/>
        <n v="5.28807427147947"/>
        <n v="4.5671455070589602"/>
        <n v="4.1704117704744998"/>
        <n v="4.8572297187223201"/>
        <n v="4.3451979538700698"/>
        <n v="4.0434972152024402"/>
        <n v="3.8639826216603299"/>
        <n v="4.54597628789951"/>
        <n v="3.84304486239302"/>
        <n v="4.4952844627773301"/>
        <n v="3.4560930073476999"/>
        <n v="4.3289581709595799"/>
        <n v="4.29714045028856"/>
        <n v="5.0823651366407203"/>
        <n v="3.7038167314984798"/>
        <n v="4.2455709776218198"/>
        <n v="3.8667746857902201"/>
        <n v="3.7019962086871301"/>
        <n v="3.1573605944284999"/>
        <n v="4.4414667151213996"/>
        <n v="4.23367248516373"/>
        <n v="4.3667462857778201"/>
        <n v="4.3613385010237797"/>
        <n v="4.1285559851598199"/>
        <n v="2.9"/>
        <n v="4.0999999999999996"/>
        <n v="5.8"/>
        <n v="4.7"/>
        <n v="6.1"/>
        <n v="4.4000000000000004"/>
        <n v="3.2"/>
        <n v="3.6"/>
        <n v="3.9"/>
        <n v="3.7"/>
        <n v="5.4"/>
        <n v="4.5999999999999996"/>
        <n v="4.5"/>
        <n v="3"/>
        <n v="4.2031086845769101"/>
        <n v="4.4099135448351596"/>
        <n v="2.8202629268407802"/>
        <n v="4.2295100422507499"/>
        <n v="4.5533547989911201"/>
        <n v="5.3032212618623804"/>
        <n v="3.6233403443358898"/>
        <n v="4.0241770692409498"/>
        <n v="6.31093299207327"/>
        <n v="4.4861466950567896"/>
        <n v="3.2131382872110499"/>
        <n v="4.15002354699131"/>
        <n v="3.8929729093475198"/>
        <n v="4.3423346352165604"/>
        <n v="3.7704067957923302"/>
        <n v="5.3481554203499"/>
        <n v="4.5615864644258703"/>
        <n v="4.1934393935893901"/>
        <n v="5.3162085389896303"/>
        <n v="4.2088056246778196"/>
        <n v="4.2568554911456102"/>
        <n v="4.07740350141595"/>
        <n v="4.4519423133405196"/>
        <n v="3.8027696973060698"/>
        <n v="4.2302885623907898"/>
        <n v="3.23186173673855"/>
        <n v="4.3891000651352696"/>
        <n v="5.0889956482551204"/>
        <n v="2.37308618614591"/>
        <n v="3.91739817546582"/>
        <n v="3.9021993588509298"/>
        <n v="3.6918766799006502"/>
        <n v="3.0185686614946801"/>
        <n v="4.4025839199349797"/>
        <n v="5.5989494003309401"/>
        <n v="3.9580633007497901"/>
        <n v="4.3651473386656203"/>
        <n v="4.2599026137890297"/>
        <n v="4.6345032809636004"/>
        <n v="2.84634956785967"/>
        <n v="4.1173348912458403"/>
        <n v="4.34575059914095"/>
        <n v="4.9117859673174697"/>
        <n v="3.5788468295944602"/>
        <n v="6.9"/>
        <n v="3.0588114501730699"/>
        <n v="4.0169877515434003"/>
        <n v="3.6845045546456099"/>
        <n v="3.9137883696429299"/>
        <n v="5.7945844115628899"/>
        <n v="4.5967651490035699"/>
        <n v="5.9956001508402101"/>
        <n v="3.8516273480873702"/>
        <n v="4.2457705798340299"/>
        <n v="3.29697413515792"/>
        <n v="4.1924934373598202"/>
        <n v="4.3374850262128097"/>
        <n v="3.7628119552185901"/>
        <n v="3.4946416008332002"/>
        <n v="3.35168546399859"/>
        <n v="3.0340799823492399"/>
        <n v="4.6187014767444703"/>
        <n v="4.1756321650581798"/>
        <n v="3.3928307414154499"/>
      </sharedItems>
    </cacheField>
    <cacheField name="number of students  Average" numFmtId="2">
      <sharedItems containsBlank="1" containsMixedTypes="1" containsNumber="1" minValue="40.867231949013899" maxValue="402.286277568998"/>
    </cacheField>
    <cacheField name="student-teacher ratio Average" numFmtId="2">
      <sharedItems containsBlank="1" containsMixedTypes="1" containsNumber="1" minValue="8.0833072245588493" maxValue="33.6575649719342"/>
    </cacheField>
    <cacheField name=" teachers fully certified Average" numFmtId="2">
      <sharedItems containsBlank="1" containsMixedTypes="1" containsNumber="1" minValue="0.1" maxValue="0.99"/>
    </cacheField>
    <cacheField name="sense of belonging to school  Average" numFmtId="2">
      <sharedItems containsBlank="1" containsMixedTypes="1" containsNumber="1" minValue="-0.50080074388252405" maxValue="0.54935322778412399"/>
    </cacheField>
    <cacheField name="parent attitudes toward mathematics Average" numFmtId="2">
      <sharedItems containsBlank="1" containsMixedTypes="1" containsNumber="1" minValue="-0.57999999999999996" maxValue="0.180623870572616"/>
    </cacheField>
    <cacheField name="economic. social and cultural status Average" numFmtId="2">
      <sharedItems containsBlank="1" containsMixedTypes="1" containsNumber="1" minValue="-1.1854430482154501" maxValue="0.52149711444767299"/>
    </cacheField>
    <cacheField name="GINI INDICATOR" numFmtId="2">
      <sharedItems containsBlank="1" containsMixedTypes="1" containsNumber="1" minValue="0" maxValue="53.4"/>
    </cacheField>
    <cacheField name="region" numFmtId="2">
      <sharedItems containsBlank="1"/>
    </cacheField>
    <cacheField name="Gender gap (boys - girls) Mathematics" numFmtId="2">
      <sharedItems containsBlank="1" containsMixedTypes="1" containsNumber="1" minValue="-21.06221961975098" maxValue="5.0681619644165039"/>
    </cacheField>
    <cacheField name="Gender gap (boys - girls) Readings" numFmtId="2">
      <sharedItems containsBlank="1" containsMixedTypes="1" containsNumber="1" minValue="-44.7" maxValue="-2.6"/>
    </cacheField>
    <cacheField name="GDP" numFmtId="2">
      <sharedItems containsString="0" containsBlank="1" containsNumber="1" minValue="16903.793882174508" maxValue="105355.19861452862"/>
    </cacheField>
    <cacheField name="spending on education" numFmtId="2">
      <sharedItems containsString="0" containsBlank="1" containsNumber="1" minValue="28903.027000000002" maxValue="15406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472.35812463112501"/>
    <x v="0"/>
    <x v="0"/>
    <n v="53.700492277130401"/>
    <n v="-0.29873839625562998"/>
    <n v="8.9982505435148895E-4"/>
    <n v="-0.14067730657278299"/>
    <n v="-3.4661331669581102E-2"/>
    <n v="4.5655961258988897"/>
    <s v="—"/>
    <s v="—"/>
    <n v="166.240622440968"/>
    <n v="13.2521726383467"/>
    <n v="0.83"/>
    <n v="-1.8258519344879199E-2"/>
    <n v="-0.164117727736147"/>
    <n v="2.3584575035485501E-3"/>
    <x v="0"/>
  </r>
  <r>
    <x v="0"/>
    <x v="1"/>
    <n v="487.08425354734698"/>
    <x v="1"/>
    <x v="1"/>
    <n v="59.2938153817882"/>
    <n v="3.7333864435593E-2"/>
    <s v="—"/>
    <s v="—"/>
    <n v="0.13025617724364899"/>
    <n v="4.4238075884357198"/>
    <s v="—"/>
    <s v="—"/>
    <s v="187¹"/>
    <s v="13¹"/>
    <n v="0.94099999999999995"/>
    <n v="-0.226701565688982"/>
    <s v="—"/>
    <n v="0.37936659954628799"/>
    <x v="1"/>
  </r>
  <r>
    <x v="0"/>
    <x v="2"/>
    <n v="487.26749908879401"/>
    <x v="2"/>
    <x v="2"/>
    <n v="53.055445060791499"/>
    <n v="-0.26404825728292503"/>
    <n v="-2.3977471298647898E-2"/>
    <s v="—"/>
    <n v="-0.39363786738795198"/>
    <n v="3.3233925163587599"/>
    <s v="—"/>
    <s v="—"/>
    <s v="—"/>
    <n v="10.0748380943787"/>
    <n v="0.85"/>
    <n v="0.44498217817180102"/>
    <s v="—"/>
    <n v="6.9067359471310305E-2"/>
    <x v="2"/>
  </r>
  <r>
    <x v="0"/>
    <x v="3"/>
    <n v="489.48681680184899"/>
    <x v="3"/>
    <x v="3"/>
    <n v="53.389593791386901"/>
    <n v="-0.25310341788482199"/>
    <s v="‡"/>
    <s v="—"/>
    <n v="-0.211792448557032"/>
    <n v="4.2547463274023798"/>
    <s v="—"/>
    <s v="—"/>
    <s v="149¹"/>
    <s v="9¹"/>
    <s v="0.87¹"/>
    <n v="2.1855229589011801E-2"/>
    <s v="‡"/>
    <n v="8.2876333975502606E-2"/>
    <x v="3"/>
  </r>
  <r>
    <x v="0"/>
    <x v="4"/>
    <n v="496.94789438732198"/>
    <x v="4"/>
    <x v="4"/>
    <n v="58.694251785425301"/>
    <n v="-0.25210810347156798"/>
    <s v="0.03¹"/>
    <s v="—"/>
    <s v="—"/>
    <s v="4¹"/>
    <s v="—"/>
    <s v="—"/>
    <s v="—"/>
    <s v="—"/>
    <s v="0.92¹"/>
    <n v="-0.161734552913263"/>
    <s v="—"/>
    <n v="0.38110208304910698"/>
    <x v="1"/>
  </r>
  <r>
    <x v="0"/>
    <x v="5"/>
    <n v="411.69657073076701"/>
    <x v="5"/>
    <x v="5"/>
    <n v="44.127175128271602"/>
    <n v="-0.226802949710771"/>
    <s v="—"/>
    <s v="—"/>
    <n v="0.39686203611620402"/>
    <s v="7¹"/>
    <s v="—"/>
    <s v="—"/>
    <n v="130.76256710303699"/>
    <n v="18.374936581981199"/>
    <s v="—"/>
    <n v="-0.22015998842257201"/>
    <s v="—"/>
    <n v="-0.50864929312434704"/>
    <x v="4"/>
  </r>
  <r>
    <x v="0"/>
    <x v="6"/>
    <n v="382.69683523923197"/>
    <x v="6"/>
    <x v="6"/>
    <n v="41.000777965089902"/>
    <n v="-0.209093181032486"/>
    <s v="—"/>
    <n v="4.5472068441072599E-2"/>
    <s v="0.52¹"/>
    <n v="4.7308984082268504"/>
    <s v="—"/>
    <s v="—"/>
    <n v="111.110627537993"/>
    <n v="25.1025893158826"/>
    <n v="0.85"/>
    <n v="-0.15690718765106801"/>
    <n v="0.180623870572616"/>
    <n v="-1.0651248656069801"/>
    <x v="0"/>
  </r>
  <r>
    <x v="0"/>
    <x v="7"/>
    <n v="384.57604106950799"/>
    <x v="7"/>
    <x v="7"/>
    <s v="—"/>
    <n v="-0.25354312051269501"/>
    <s v="-0.17¹"/>
    <n v="0.20099543921621599"/>
    <n v="0.56441419127673298"/>
    <n v="5.2850632090373697"/>
    <s v="—"/>
    <s v="—"/>
    <s v="174¹"/>
    <s v="17¹"/>
    <s v="0.81¹"/>
    <n v="-9.4153900568885299E-2"/>
    <n v="1.29574295969646E-2"/>
    <s v="—"/>
    <x v="0"/>
  </r>
  <r>
    <x v="0"/>
    <x v="8"/>
    <n v="486.99920801507602"/>
    <x v="8"/>
    <x v="8"/>
    <n v="50.883136085851703"/>
    <n v="-0.165843531529419"/>
    <n v="8.9187121488986304E-2"/>
    <s v="—"/>
    <n v="-0.49632303975843001"/>
    <n v="4.8302672398138498"/>
    <s v="—"/>
    <s v="—"/>
    <n v="99.055230233993001"/>
    <n v="13.2413011585574"/>
    <n v="0.87"/>
    <n v="-0.279894787512875"/>
    <s v="—"/>
    <n v="-0.104086068916066"/>
    <x v="5"/>
  </r>
  <r>
    <x v="0"/>
    <x v="9"/>
    <n v="489.27387686400698"/>
    <x v="9"/>
    <x v="9"/>
    <n v="62.2895475661348"/>
    <n v="-4.3775353482028399E-2"/>
    <n v="9.4962434502755405E-2"/>
    <s v="—"/>
    <n v="3.0886562584902101E-3"/>
    <n v="5.6240251870440501"/>
    <s v="—"/>
    <s v="—"/>
    <s v="76¹"/>
    <s v="12¹"/>
    <s v="—"/>
    <n v="0.109186958787889"/>
    <s v="—"/>
    <n v="0.47607773953594001"/>
    <x v="6"/>
  </r>
  <r>
    <x v="0"/>
    <x v="10"/>
    <n v="509.94695312703101"/>
    <x v="10"/>
    <x v="10"/>
    <n v="54.918360740770098"/>
    <n v="-0.12847185483537599"/>
    <s v="—"/>
    <s v="—"/>
    <n v="-0.19360039014074601"/>
    <n v="4.88334781872266"/>
    <s v="—"/>
    <s v="—"/>
    <n v="71.225471757856397"/>
    <n v="11.916763026560901"/>
    <n v="0.77"/>
    <n v="-0.13748266427781899"/>
    <s v="—"/>
    <n v="0.15072518801656601"/>
    <x v="7"/>
  </r>
  <r>
    <x v="0"/>
    <x v="11"/>
    <n v="484.13922564973097"/>
    <x v="11"/>
    <x v="11"/>
    <n v="55.5098570253612"/>
    <n v="-0.39438433003196999"/>
    <s v="—"/>
    <s v="—"/>
    <n v="-2.1322556700308498E-3"/>
    <n v="4.17620395868218"/>
    <s v="—"/>
    <s v="—"/>
    <n v="115.790330767763"/>
    <n v="10.9022447006265"/>
    <n v="0.88"/>
    <n v="0.101157762839152"/>
    <s v="—"/>
    <n v="0.25848283682790302"/>
    <x v="8"/>
  </r>
  <r>
    <x v="0"/>
    <x v="12"/>
    <n v="473.94441830649401"/>
    <x v="12"/>
    <x v="12"/>
    <n v="53.075123600931697"/>
    <n v="-0.21940103114492601"/>
    <s v="—"/>
    <s v="—"/>
    <n v="-0.26265549336414501"/>
    <n v="4.0397096028453596"/>
    <s v="—"/>
    <s v="—"/>
    <s v="295¹"/>
    <s v="12¹"/>
    <s v="0.81¹"/>
    <n v="-2.6856753886927001E-2"/>
    <s v="—"/>
    <n v="1.85389285668058E-4"/>
    <x v="9"/>
  </r>
  <r>
    <x v="0"/>
    <x v="13"/>
    <n v="474.82645387935202"/>
    <x v="13"/>
    <x v="13"/>
    <s v="51.9¹"/>
    <n v="-0.20320797272301799"/>
    <s v="—"/>
    <s v="—"/>
    <s v="-0.15¹"/>
    <s v="4¹"/>
    <s v="—"/>
    <s v="—"/>
    <s v="102¹"/>
    <s v="14¹"/>
    <s v="0.86¹"/>
    <n v="0.26987259279776699"/>
    <s v="‡"/>
    <n v="-0.136990019180072"/>
    <x v="1"/>
  </r>
  <r>
    <x v="0"/>
    <x v="14"/>
    <n v="430.14632180949002"/>
    <x v="14"/>
    <x v="14"/>
    <n v="51.139757603799303"/>
    <n v="-0.25695866405941797"/>
    <s v="—"/>
    <s v="—"/>
    <n v="-0.39718982480908899"/>
    <n v="5.1140539501420497"/>
    <s v="—"/>
    <s v="—"/>
    <n v="95.296987326530299"/>
    <n v="8.7022377807453992"/>
    <n v="0.88"/>
    <n v="-5.9726515808331299E-2"/>
    <s v="—"/>
    <n v="-0.15486959374031001"/>
    <x v="10"/>
  </r>
  <r>
    <x v="0"/>
    <x v="15"/>
    <n v="472.77612223890901"/>
    <x v="15"/>
    <x v="15"/>
    <n v="51.0779321227051"/>
    <n v="-0.420768191179201"/>
    <n v="0.102845585336579"/>
    <s v="—"/>
    <n v="-0.22273788113680601"/>
    <n v="4.0257243012655604"/>
    <s v="—"/>
    <s v="—"/>
    <s v="135¹"/>
    <s v="11¹"/>
    <s v="—"/>
    <n v="0.138588123455989"/>
    <s v="—"/>
    <n v="2.97822586707247E-3"/>
    <x v="1"/>
  </r>
  <r>
    <x v="0"/>
    <x v="16"/>
    <n v="458.91401444354199"/>
    <x v="16"/>
    <x v="16"/>
    <n v="60.4632455431748"/>
    <n v="-0.44745929765769499"/>
    <s v="—"/>
    <s v="—"/>
    <n v="0.175436322365039"/>
    <n v="5.5966186253997696"/>
    <s v="—"/>
    <s v="—"/>
    <s v="—"/>
    <s v="11¹"/>
    <s v="0.66¹"/>
    <n v="0.16405403939413399"/>
    <s v="—"/>
    <n v="0.37810512367993598"/>
    <x v="1"/>
  </r>
  <r>
    <x v="0"/>
    <x v="17"/>
    <n v="491.64827959407398"/>
    <x v="17"/>
    <x v="17"/>
    <n v="59.7250783642708"/>
    <n v="-0.29517710367590599"/>
    <s v="—"/>
    <s v="—"/>
    <n v="7.0590126556413099E-2"/>
    <n v="3.9201593014080198"/>
    <s v="—"/>
    <s v="—"/>
    <n v="128.95801279629001"/>
    <n v="12.412020907437499"/>
    <s v="0.9¹"/>
    <n v="-0.132055069750694"/>
    <n v="-0.117192590292706"/>
    <n v="0.33297913554424302"/>
    <x v="11"/>
  </r>
  <r>
    <x v="0"/>
    <x v="18"/>
    <n v="457.89666661311901"/>
    <x v="18"/>
    <x v="18"/>
    <n v="61.953581547711998"/>
    <s v="—"/>
    <s v="—"/>
    <s v="—"/>
    <s v="0.09¹"/>
    <n v="5.5570429959530401"/>
    <s v="—"/>
    <s v="—"/>
    <n v="171.920694584736"/>
    <s v="11¹"/>
    <s v="0.83¹"/>
    <s v="—"/>
    <s v="—"/>
    <n v="0.27995699761137099"/>
    <x v="1"/>
  </r>
  <r>
    <x v="0"/>
    <x v="19"/>
    <n v="471.25947533329497"/>
    <x v="19"/>
    <x v="19"/>
    <n v="49.431773601209798"/>
    <n v="-0.49066922351837"/>
    <n v="-0.14788418766639599"/>
    <s v="—"/>
    <n v="-0.16053228627564201"/>
    <n v="4.2584989280839398"/>
    <s v="—"/>
    <s v="—"/>
    <n v="192.86030590996199"/>
    <n v="8.0992772192697604"/>
    <n v="0.74"/>
    <n v="-6.4720885371625098E-2"/>
    <n v="-0.168524878631509"/>
    <n v="-0.10021047634097301"/>
    <x v="12"/>
  </r>
  <r>
    <x v="0"/>
    <x v="20"/>
    <n v="535.57930594453205"/>
    <x v="20"/>
    <x v="20"/>
    <n v="53.927255096493802"/>
    <n v="-0.72255861550130995"/>
    <s v="—"/>
    <s v="—"/>
    <n v="0.24059202616324099"/>
    <n v="4.9604932674958198"/>
    <s v="—"/>
    <s v="—"/>
    <n v="262.02851766514601"/>
    <n v="11.4734789706336"/>
    <n v="0.96"/>
    <n v="0.24595837884086699"/>
    <s v="—"/>
    <n v="-6.8250226610113802E-3"/>
    <x v="1"/>
  </r>
  <r>
    <x v="0"/>
    <x v="21"/>
    <n v="527.30250200027797"/>
    <x v="21"/>
    <x v="21"/>
    <n v="57.819385743463997"/>
    <n v="-0.91216038520979703"/>
    <s v="—"/>
    <n v="-0.66849942737563695"/>
    <n v="6.5813419641616203E-2"/>
    <n v="4.2119973382623597"/>
    <s v="—"/>
    <s v="—"/>
    <n v="235.194988961874"/>
    <n v="11.724466709728"/>
    <n v="0.84"/>
    <n v="0.262511644153688"/>
    <n v="-0.47347519740696697"/>
    <n v="0.22438568641530299"/>
    <x v="0"/>
  </r>
  <r>
    <x v="0"/>
    <x v="22"/>
    <n v="483.159455120676"/>
    <x v="22"/>
    <x v="22"/>
    <n v="52.225842533400602"/>
    <n v="5.26530498401293E-2"/>
    <s v="—"/>
    <s v="—"/>
    <n v="-0.21561088272836401"/>
    <n v="6.0203955599466799"/>
    <s v="—"/>
    <s v="—"/>
    <s v="63¹"/>
    <s v="11¹"/>
    <s v="—"/>
    <n v="-0.245374776496944"/>
    <s v="-0.58¹"/>
    <n v="-9.4825237426023508E-3"/>
    <x v="12"/>
  </r>
  <r>
    <x v="0"/>
    <x v="23"/>
    <n v="475.14676218880697"/>
    <x v="23"/>
    <x v="23"/>
    <s v="54.7¹"/>
    <n v="-0.43428205957548599"/>
    <s v="—"/>
    <s v="—"/>
    <n v="-0.18995203343683001"/>
    <n v="4.8032613839115301"/>
    <s v="—"/>
    <s v="—"/>
    <n v="100.274335726201"/>
    <n v="11.686657309054601"/>
    <n v="0.92"/>
    <n v="-2.34241872276191E-2"/>
    <s v="—"/>
    <n v="5.22950665852688E-2"/>
    <x v="13"/>
  </r>
  <r>
    <x v="0"/>
    <x v="24"/>
    <s v="—"/>
    <x v="24"/>
    <x v="24"/>
    <s v="—"/>
    <s v="—"/>
    <s v="—"/>
    <s v="—"/>
    <s v="—"/>
    <s v="—"/>
    <s v="—"/>
    <s v="—"/>
    <s v="—"/>
    <s v="—"/>
    <s v="—"/>
    <s v="—"/>
    <s v="—"/>
    <s v="—"/>
    <x v="14"/>
  </r>
  <r>
    <x v="0"/>
    <x v="25"/>
    <n v="395.02991914664301"/>
    <x v="25"/>
    <x v="25"/>
    <n v="42.558595335075097"/>
    <n v="-0.43966064379548497"/>
    <s v="—"/>
    <s v="—"/>
    <n v="0.44158923783137"/>
    <n v="4.0762894193450103"/>
    <s v="—"/>
    <s v="—"/>
    <n v="394.95156508158198"/>
    <n v="31.5906661582871"/>
    <n v="0.33"/>
    <n v="-0.183213206911221"/>
    <s v="—"/>
    <n v="-0.95243732516727297"/>
    <x v="15"/>
  </r>
  <r>
    <x v="0"/>
    <x v="26"/>
    <n v="492.67563898942302"/>
    <x v="26"/>
    <x v="26"/>
    <n v="56.238312710181198"/>
    <n v="-0.49713964600914801"/>
    <n v="0.120860706830965"/>
    <s v="—"/>
    <n v="-0.36355178648025099"/>
    <n v="3.3344697240324499"/>
    <s v="—"/>
    <s v="—"/>
    <s v="218¹"/>
    <s v="17¹"/>
    <s v="0.82¹"/>
    <n v="0.10237876093010299"/>
    <s v="—"/>
    <n v="0.25346078219023999"/>
    <x v="1"/>
  </r>
  <r>
    <x v="0"/>
    <x v="27"/>
    <n v="479.07419338779698"/>
    <x v="27"/>
    <x v="27"/>
    <n v="58.007255189024903"/>
    <n v="5.4577280249479198E-3"/>
    <s v="—"/>
    <s v="—"/>
    <n v="8.2404014711555104E-2"/>
    <n v="4.2760902698255503"/>
    <s v="—"/>
    <s v="—"/>
    <s v="—"/>
    <s v="15¹"/>
    <s v="0.84¹"/>
    <n v="-0.28784463039482699"/>
    <s v="—"/>
    <n v="0.219063599870888"/>
    <x v="1"/>
  </r>
  <r>
    <x v="0"/>
    <x v="28"/>
    <n v="468.44994986357699"/>
    <x v="28"/>
    <x v="28"/>
    <n v="62.286994493112203"/>
    <n v="-0.28237695997548701"/>
    <s v="0.17¹"/>
    <s v="—"/>
    <n v="-0.169663397770102"/>
    <n v="4.30809613055174"/>
    <s v="—"/>
    <s v="—"/>
    <s v="—"/>
    <s v="—"/>
    <s v="—"/>
    <n v="0.22577003632692999"/>
    <s v="—"/>
    <n v="0.52149711444767299"/>
    <x v="16"/>
  </r>
  <r>
    <x v="0"/>
    <x v="29"/>
    <n v="488.96005358907399"/>
    <x v="29"/>
    <x v="29"/>
    <n v="52.034069969783801"/>
    <n v="-0.35296353095870298"/>
    <n v="0.15479597412384399"/>
    <s v="—"/>
    <n v="-0.6856662357412"/>
    <n v="3.8103623352126501"/>
    <s v="—"/>
    <s v="—"/>
    <n v="144.350075991642"/>
    <n v="10.371461313773899"/>
    <n v="0.88"/>
    <n v="-0.31210981528440201"/>
    <s v="—"/>
    <n v="-0.105140686411218"/>
    <x v="17"/>
  </r>
  <r>
    <x v="0"/>
    <x v="30"/>
    <n v="471.91052213243501"/>
    <x v="30"/>
    <x v="30"/>
    <n v="51.018857875373001"/>
    <n v="-0.54735400650265498"/>
    <n v="-0.29024495095217501"/>
    <s v="—"/>
    <n v="0.32979577798994902"/>
    <n v="4.0053628047240899"/>
    <s v="—"/>
    <s v="—"/>
    <n v="218.365035144801"/>
    <n v="10.4032975783991"/>
    <n v="0.8"/>
    <n v="8.4369594030458794E-2"/>
    <n v="3.3991304939115502E-4"/>
    <n v="-0.226355259918322"/>
    <x v="18"/>
  </r>
  <r>
    <x v="0"/>
    <x v="31"/>
    <n v="463.99461851406897"/>
    <x v="31"/>
    <x v="31"/>
    <n v="47.569681000507202"/>
    <n v="-0.29370872773352802"/>
    <s v="—"/>
    <s v="—"/>
    <n v="-0.20992051324147001"/>
    <n v="4.7756185389081196"/>
    <s v="—"/>
    <s v="—"/>
    <n v="79.566723932180395"/>
    <n v="12.556962200757001"/>
    <n v="0.75"/>
    <n v="-0.20072176601361999"/>
    <s v="—"/>
    <n v="-0.30299666556108201"/>
    <x v="0"/>
  </r>
  <r>
    <x v="0"/>
    <x v="32"/>
    <n v="484.52900869557101"/>
    <x v="32"/>
    <x v="32"/>
    <n v="57.661959040732"/>
    <n v="-0.42900457958579602"/>
    <s v="—"/>
    <s v="—"/>
    <n v="-0.41471932464012201"/>
    <n v="4.0456451573249099"/>
    <s v="—"/>
    <s v="—"/>
    <n v="149.91696629272201"/>
    <n v="10.664504125689501"/>
    <n v="0.86"/>
    <n v="3.8575906094158799E-2"/>
    <s v="—"/>
    <n v="0.225808263077452"/>
    <x v="19"/>
  </r>
  <r>
    <x v="0"/>
    <x v="33"/>
    <n v="473.14020809294499"/>
    <x v="33"/>
    <x v="33"/>
    <n v="51.033223361263303"/>
    <n v="-0.37901147314804501"/>
    <n v="-0.18675319333007701"/>
    <s v="—"/>
    <n v="6.1526505045296401E-2"/>
    <n v="4.2212221780922397"/>
    <s v="—"/>
    <s v="—"/>
    <n v="91.038372013385597"/>
    <n v="11.5824140584409"/>
    <s v="0.87¹"/>
    <n v="0.272534564022751"/>
    <s v="—"/>
    <n v="-3.3199497248014603E-2"/>
    <x v="20"/>
  </r>
  <r>
    <x v="0"/>
    <x v="34"/>
    <n v="481.76606543002703"/>
    <x v="34"/>
    <x v="34"/>
    <n v="59.230088364809703"/>
    <n v="-0.26768245261281898"/>
    <s v="—"/>
    <s v="—"/>
    <n v="0.18966554337452199"/>
    <n v="4.3408893991424096"/>
    <s v="—"/>
    <s v="—"/>
    <s v="—"/>
    <s v="12¹"/>
    <s v="0.81¹"/>
    <n v="8.8342877875343798E-2"/>
    <s v="—"/>
    <n v="0.32659102043782701"/>
    <x v="21"/>
  </r>
  <r>
    <x v="0"/>
    <x v="35"/>
    <n v="507.99058624683801"/>
    <x v="35"/>
    <x v="35"/>
    <n v="54.882829399558098"/>
    <n v="-0.26478093626808302"/>
    <s v="—"/>
    <s v="—"/>
    <s v="-0.13¹"/>
    <n v="4.5518765427239103"/>
    <s v="—"/>
    <s v="—"/>
    <s v="162¹"/>
    <s v="12¹"/>
    <s v="0.82¹"/>
    <n v="0.35725156988043499"/>
    <s v="—"/>
    <n v="0.16916674373572499"/>
    <x v="22"/>
  </r>
  <r>
    <x v="0"/>
    <x v="36"/>
    <n v="453.15176726255601"/>
    <x v="36"/>
    <x v="36"/>
    <n v="38.339120135393401"/>
    <n v="-0.202325216460955"/>
    <s v="—"/>
    <s v="—"/>
    <n v="-0.24034949665415101"/>
    <n v="5.63518500625824"/>
    <s v="—"/>
    <s v="—"/>
    <n v="236.722285783453"/>
    <n v="14.1021762089799"/>
    <n v="0.86"/>
    <n v="-0.30048130703882397"/>
    <s v="—"/>
    <n v="-1.1854430482154501"/>
    <x v="23"/>
  </r>
  <r>
    <x v="0"/>
    <x v="37"/>
    <n v="488.97508504425099"/>
    <x v="37"/>
    <x v="37"/>
    <s v="56.6¹"/>
    <s v="0¹"/>
    <s v="—"/>
    <s v="—"/>
    <s v="0.26¹"/>
    <s v="5¹"/>
    <s v="—"/>
    <s v="—"/>
    <s v="192¹"/>
    <s v="16¹"/>
    <s v="0.94¹"/>
    <s v="-0.21¹"/>
    <s v="—"/>
    <s v="0.14¹"/>
    <x v="1"/>
  </r>
  <r>
    <x v="0"/>
    <x v="38"/>
    <n v="464.88804296317699"/>
    <x v="38"/>
    <x v="38"/>
    <n v="55.072900733762197"/>
    <n v="-0.29922504549693402"/>
    <n v="6.8709947754207995E-2"/>
    <s v="—"/>
    <n v="0.25335469446404801"/>
    <n v="3.6350664144739699"/>
    <s v="—"/>
    <s v="—"/>
    <s v="371¹"/>
    <s v="16¹"/>
    <s v="0.9¹"/>
    <n v="-0.26195708690722003"/>
    <s v="—"/>
    <n v="5.6162867360860201E-2"/>
    <x v="24"/>
  </r>
  <r>
    <x v="1"/>
    <x v="0"/>
    <n v="486.99832203764601"/>
    <x v="39"/>
    <x v="39"/>
    <n v="52.040819274654602"/>
    <n v="4.1961023072096797E-3"/>
    <s v="—"/>
    <n v="3.01804340871515E-2"/>
    <s v="—"/>
    <n v="4.26917466571674"/>
    <n v="4.0234954311365199"/>
    <n v="4.2066354612645096"/>
    <n v="157.40845229019601"/>
    <n v="13.344505309555499"/>
    <n v="0.82"/>
    <n v="1.2954208933595699E-4"/>
    <s v="—"/>
    <s v="—"/>
    <x v="0"/>
  </r>
  <r>
    <x v="1"/>
    <x v="1"/>
    <n v="491.36002524732402"/>
    <x v="40"/>
    <x v="40"/>
    <n v="55.838370313279"/>
    <s v="0.33¹"/>
    <s v="—"/>
    <s v="—"/>
    <s v="—"/>
    <n v="4.2863004080792404"/>
    <n v="3.79491727419573"/>
    <n v="4.2319116975542501"/>
    <n v="170.379979236308"/>
    <s v="13¹"/>
    <s v="0.94¹"/>
    <s v="-0.19¹"/>
    <s v="—"/>
    <s v="—"/>
    <x v="25"/>
  </r>
  <r>
    <x v="1"/>
    <x v="2"/>
    <n v="498.94231377018502"/>
    <x v="41"/>
    <x v="41"/>
    <n v="50.816090118803999"/>
    <s v="-0.02¹"/>
    <s v="—"/>
    <s v="—"/>
    <s v="—"/>
    <n v="3.0012034736222999"/>
    <s v="4.1¹"/>
    <n v="3.10944633116108"/>
    <n v="120.409299609455"/>
    <n v="10.896817907220999"/>
    <n v="0.85"/>
    <n v="0.39768398064012001"/>
    <s v="—"/>
    <s v="—"/>
    <x v="26"/>
  </r>
  <r>
    <x v="1"/>
    <x v="3"/>
    <n v="508.07030630262301"/>
    <x v="42"/>
    <x v="42"/>
    <n v="52.423091428125304"/>
    <s v="-0.11¹"/>
    <s v="—"/>
    <s v="‡"/>
    <s v="—"/>
    <n v="4.1603331487548401"/>
    <n v="3.6630950118941001"/>
    <n v="4.2616487318968703"/>
    <n v="136.67411018063399"/>
    <s v="9¹"/>
    <s v="0.84¹"/>
    <n v="6.0039668467452102E-2"/>
    <s v="—"/>
    <s v="—"/>
    <x v="27"/>
  </r>
  <r>
    <x v="1"/>
    <x v="4"/>
    <n v="512.01694292684499"/>
    <x v="43"/>
    <x v="43"/>
    <n v="57.525021777615699"/>
    <s v="0.14¹"/>
    <s v="—"/>
    <s v="—"/>
    <s v="—"/>
    <n v="4.0514912238883598"/>
    <n v="3.9733781012084699"/>
    <n v="4.22386892081391"/>
    <n v="248.21595745502799"/>
    <s v="—"/>
    <s v="0.96¹"/>
    <n v="-0.17677131405156299"/>
    <s v="—"/>
    <s v="—"/>
    <x v="28"/>
  </r>
  <r>
    <x v="1"/>
    <x v="5"/>
    <n v="417.40655630857901"/>
    <x v="44"/>
    <x v="44"/>
    <n v="43.940946033980701"/>
    <s v="0¹"/>
    <s v="—"/>
    <n v="8.7111665905437105E-3"/>
    <s v="—"/>
    <s v="6¹"/>
    <s v="5.1¹"/>
    <s v="6¹"/>
    <n v="132.947136565916"/>
    <s v="20¹"/>
    <s v="0.23¹"/>
    <s v="-0.1¹"/>
    <s v="—"/>
    <s v="—"/>
    <x v="1"/>
  </r>
  <r>
    <x v="1"/>
    <x v="6"/>
    <n v="390.932273204875"/>
    <x v="45"/>
    <x v="45"/>
    <n v="41.625793545919699"/>
    <s v="0.18¹"/>
    <s v="—"/>
    <s v="—"/>
    <s v="—"/>
    <s v="4¹"/>
    <s v="3.1¹"/>
    <s v="3.5¹"/>
    <n v="114.715639380056"/>
    <n v="25.935432052469999"/>
    <n v="0.37"/>
    <n v="-0.17950645525783199"/>
    <s v="—"/>
    <s v="—"/>
    <x v="0"/>
  </r>
  <r>
    <x v="1"/>
    <x v="7"/>
    <n v="402.33055853602298"/>
    <x v="46"/>
    <x v="46"/>
    <n v="42.9604113805132"/>
    <n v="-1.8390686952707999E-2"/>
    <s v="—"/>
    <s v="—"/>
    <s v="—"/>
    <n v="5.0055683882262096"/>
    <n v="5.6043639091989403"/>
    <n v="4.7234632522313396"/>
    <n v="139.09388836394601"/>
    <n v="15.6568770974581"/>
    <n v="0.83"/>
    <n v="5.2525408526716597E-2"/>
    <s v="—"/>
    <s v="—"/>
    <x v="0"/>
  </r>
  <r>
    <x v="1"/>
    <x v="8"/>
    <n v="499.467650822959"/>
    <x v="47"/>
    <x v="47"/>
    <n v="49.069037385213299"/>
    <n v="1.9483177872180801E-2"/>
    <s v="—"/>
    <s v="—"/>
    <s v="—"/>
    <n v="4.16254034128489"/>
    <n v="5.2695070214975104"/>
    <n v="4.0726785163058903"/>
    <n v="84.524638333134604"/>
    <n v="13.0625820708017"/>
    <n v="0.9"/>
    <n v="-0.28100475584636803"/>
    <s v="—"/>
    <s v="—"/>
    <x v="29"/>
  </r>
  <r>
    <x v="1"/>
    <x v="9"/>
    <n v="509.39837458427502"/>
    <x v="48"/>
    <x v="48"/>
    <n v="60.0072113302773"/>
    <s v="0.03¹"/>
    <s v="—"/>
    <s v="—"/>
    <s v="—"/>
    <s v="5¹"/>
    <s v="4.3¹"/>
    <s v="6.7¹"/>
    <n v="59.340675829101997"/>
    <s v="14¹"/>
    <s v="‡"/>
    <n v="0.21309888980747399"/>
    <s v="—"/>
    <s v="—"/>
    <x v="30"/>
  </r>
  <r>
    <x v="1"/>
    <x v="10"/>
    <n v="523.41458018670903"/>
    <x v="49"/>
    <x v="49"/>
    <n v="53.467227718401197"/>
    <n v="7.7707738376580904E-2"/>
    <s v="—"/>
    <s v="—"/>
    <s v="—"/>
    <n v="4.6555540826248896"/>
    <n v="4.7415593250329202"/>
    <n v="4.0553863667654602"/>
    <n v="56.6104625623747"/>
    <n v="12.3613140147762"/>
    <n v="0.81"/>
    <n v="-0.134357427795288"/>
    <s v="—"/>
    <s v="—"/>
    <x v="31"/>
  </r>
  <r>
    <x v="1"/>
    <x v="11"/>
    <n v="507.30136184441801"/>
    <x v="50"/>
    <x v="50"/>
    <n v="55.837642154626998"/>
    <n v="-3.0802343893210599E-2"/>
    <s v="—"/>
    <s v="—"/>
    <s v="—"/>
    <n v="3.5127374006821501"/>
    <n v="3.01756395490747"/>
    <n v="3.0925960261641201"/>
    <n v="111.218965464923"/>
    <n v="10.8694977470743"/>
    <n v="0.89"/>
    <n v="1.1989916861064801E-2"/>
    <s v="—"/>
    <s v="—"/>
    <x v="32"/>
  </r>
  <r>
    <x v="1"/>
    <x v="12"/>
    <n v="495.40757939134699"/>
    <x v="51"/>
    <x v="51"/>
    <n v="51.481305041029898"/>
    <s v="-0.08¹"/>
    <s v="—"/>
    <s v="—"/>
    <s v="—"/>
    <s v="4¹"/>
    <s v="3¹"/>
    <s v="4¹"/>
    <n v="283.05415643477897"/>
    <s v="12¹"/>
    <s v="0.75¹"/>
    <n v="-7.2355114459756606E-2"/>
    <s v="—"/>
    <s v="—"/>
    <x v="33"/>
  </r>
  <r>
    <x v="1"/>
    <x v="13"/>
    <n v="500.04378051165298"/>
    <x v="52"/>
    <x v="52"/>
    <s v="51.8¹"/>
    <s v="‡"/>
    <s v="—"/>
    <s v="‡"/>
    <s v="—"/>
    <s v="4¹"/>
    <s v="4.4¹"/>
    <s v="4¹"/>
    <n v="99.964345186409503"/>
    <s v="14¹"/>
    <s v="0.88¹"/>
    <s v="0.28¹"/>
    <s v="—"/>
    <s v="—"/>
    <x v="34"/>
  </r>
  <r>
    <x v="1"/>
    <x v="14"/>
    <n v="451.37034380791101"/>
    <x v="53"/>
    <x v="53"/>
    <n v="50.1310868196786"/>
    <s v="0.01¹"/>
    <s v="—"/>
    <s v="—"/>
    <s v="—"/>
    <n v="4.4782190765671901"/>
    <n v="4.6699933550643102"/>
    <n v="3.65881673874211"/>
    <n v="92.092513040260897"/>
    <n v="9.5310551957553091"/>
    <n v="0.85"/>
    <n v="1.69386376344411E-2"/>
    <s v="—"/>
    <s v="—"/>
    <x v="35"/>
  </r>
  <r>
    <x v="1"/>
    <x v="15"/>
    <n v="481.08263635897498"/>
    <x v="54"/>
    <x v="54"/>
    <n v="50.6836530342459"/>
    <s v="-0.11¹"/>
    <s v="—"/>
    <s v="—"/>
    <s v="—"/>
    <n v="3.3335139118344999"/>
    <n v="3.8378512933160098"/>
    <n v="3.6321633917327198"/>
    <n v="120.653700905394"/>
    <n v="10.642161715875099"/>
    <s v="—"/>
    <n v="7.4367446310312696E-2"/>
    <s v="—"/>
    <s v="—"/>
    <x v="1"/>
  </r>
  <r>
    <x v="1"/>
    <x v="16"/>
    <n v="495.18737622181999"/>
    <x v="55"/>
    <x v="55"/>
    <n v="60.592642597089203"/>
    <s v="-0.19¹"/>
    <s v="—"/>
    <s v="—"/>
    <s v="—"/>
    <n v="5.1279967728439697"/>
    <n v="2.9442548825625101"/>
    <n v="5.1448874345742004"/>
    <n v="59.806338296861703"/>
    <n v="10.612299926058199"/>
    <n v="0.85"/>
    <n v="9.9648812950784205E-2"/>
    <s v="—"/>
    <s v="—"/>
    <x v="36"/>
  </r>
  <r>
    <x v="1"/>
    <x v="17"/>
    <n v="499.63289396778703"/>
    <x v="56"/>
    <x v="56"/>
    <n v="52.733955708510898"/>
    <s v="0.13¹"/>
    <s v="—"/>
    <n v="3.0936109296262299E-2"/>
    <s v="—"/>
    <n v="4.4958000276582597"/>
    <n v="3.3526307070692298"/>
    <n v="4.29992455229723"/>
    <n v="112.669492489842"/>
    <n v="12.7924833687152"/>
    <n v="0.96"/>
    <n v="-0.153260854388932"/>
    <s v="—"/>
    <s v="—"/>
    <x v="37"/>
  </r>
  <r>
    <x v="1"/>
    <x v="18"/>
    <n v="463.03454879840501"/>
    <x v="57"/>
    <x v="57"/>
    <n v="60.4530243976698"/>
    <s v="—"/>
    <s v="—"/>
    <s v="—"/>
    <s v="—"/>
    <s v="5¹"/>
    <s v="4.3¹"/>
    <s v="4.2¹"/>
    <n v="172.29828161254599"/>
    <n v="11.630953354566101"/>
    <n v="0.6"/>
    <s v="—"/>
    <s v="—"/>
    <s v="—"/>
    <x v="38"/>
  </r>
  <r>
    <x v="1"/>
    <x v="19"/>
    <n v="486.58985725929199"/>
    <x v="58"/>
    <x v="58"/>
    <n v="47.273325688729301"/>
    <s v="-0.07¹"/>
    <s v="—"/>
    <n v="1.7500349981281402E-2"/>
    <s v="—"/>
    <s v="4¹"/>
    <s v="2.5¹"/>
    <s v="4.9¹"/>
    <n v="198.19087009426201"/>
    <n v="9.3262749161698206"/>
    <n v="0.79"/>
    <n v="4.3556339967612601E-2"/>
    <s v="—"/>
    <s v="—"/>
    <x v="39"/>
  </r>
  <r>
    <x v="1"/>
    <x v="20"/>
    <n v="526.97325016916"/>
    <x v="59"/>
    <x v="59"/>
    <n v="52.246421155656599"/>
    <n v="-0.282819484068209"/>
    <s v="—"/>
    <s v="—"/>
    <s v="—"/>
    <n v="4.77707438314921"/>
    <n v="3.3792362898050801"/>
    <n v="4.2512051193596898"/>
    <n v="252.45777551506501"/>
    <n v="11.935319449597801"/>
    <n v="0.96"/>
    <n v="1.52247139691278E-2"/>
    <s v="—"/>
    <s v="—"/>
    <x v="35"/>
  </r>
  <r>
    <x v="1"/>
    <x v="21"/>
    <n v="525.93300203961599"/>
    <x v="60"/>
    <x v="60"/>
    <n v="52.468691166633803"/>
    <s v="—"/>
    <s v="—"/>
    <n v="-0.36921781899169198"/>
    <s v="—"/>
    <n v="3.6734779159350701"/>
    <n v="3.6060891526032801"/>
    <n v="3.75134203373702"/>
    <n v="241.67775102914501"/>
    <n v="13.4533090408981"/>
    <n v="0.95"/>
    <n v="0.27919698680934601"/>
    <s v="—"/>
    <s v="—"/>
    <x v="0"/>
  </r>
  <r>
    <x v="1"/>
    <x v="22"/>
    <n v="496.126330622544"/>
    <x v="61"/>
    <x v="61"/>
    <n v="53.523363436237197"/>
    <n v="0.37125194957976398"/>
    <s v="—"/>
    <s v="—"/>
    <s v="—"/>
    <n v="5.5541640665966598"/>
    <n v="5.8531661847442704"/>
    <n v="3.9566598612570298"/>
    <n v="52.442986694789099"/>
    <n v="10.9696734674193"/>
    <s v="—"/>
    <n v="-0.256660945197551"/>
    <s v="—"/>
    <s v="—"/>
    <x v="40"/>
  </r>
  <r>
    <x v="1"/>
    <x v="23"/>
    <n v="481.191188395501"/>
    <x v="62"/>
    <x v="62"/>
    <n v="53.082500934408102"/>
    <s v="0.02¹"/>
    <s v="—"/>
    <s v="—"/>
    <s v="—"/>
    <n v="3.9983540215083502"/>
    <n v="5.8186665129413102"/>
    <n v="4.6544749131846697"/>
    <n v="85.438817398833905"/>
    <n v="10.5026577382135"/>
    <n v="0.98"/>
    <n v="-0.13429312713608099"/>
    <s v="—"/>
    <s v="—"/>
    <x v="41"/>
  </r>
  <r>
    <x v="1"/>
    <x v="24"/>
    <n v="483.42148500786601"/>
    <x v="63"/>
    <x v="63"/>
    <n v="51.431956180237897"/>
    <n v="-4.4213409000036799E-2"/>
    <s v="—"/>
    <s v="0.15¹"/>
    <s v="—"/>
    <n v="3.9943611920274198"/>
    <n v="3.6097246466812298"/>
    <n v="3.8862984119822102"/>
    <n v="256.67228724243301"/>
    <n v="9.3805896938119009"/>
    <s v="0.72¹"/>
    <n v="8.7199839348448799E-2"/>
    <s v="—"/>
    <s v="—"/>
    <x v="42"/>
  </r>
  <r>
    <x v="1"/>
    <x v="25"/>
    <n v="408.80147337531503"/>
    <x v="64"/>
    <x v="64"/>
    <n v="40.825099129267201"/>
    <s v="‡"/>
    <s v="—"/>
    <n v="-2.01089388966827E-2"/>
    <s v="—"/>
    <n v="4.2404637799123002"/>
    <n v="4.0820477179330199"/>
    <n v="4.0795285737725502"/>
    <n v="402.286277568998"/>
    <n v="33.6575649719342"/>
    <n v="0.42"/>
    <s v="-0.02¹"/>
    <s v="—"/>
    <s v="—"/>
    <x v="43"/>
  </r>
  <r>
    <x v="1"/>
    <x v="26"/>
    <n v="519.23098239301703"/>
    <x v="65"/>
    <x v="65"/>
    <n v="55.188743803178603"/>
    <n v="-0.3"/>
    <s v="—"/>
    <s v="—"/>
    <s v="—"/>
    <s v="3¹"/>
    <s v="5.2¹"/>
    <s v="3.3¹"/>
    <n v="233.59374634159201"/>
    <n v="17.419712875936501"/>
    <n v="0.86"/>
    <s v="0.2¹"/>
    <s v="—"/>
    <s v="—"/>
    <x v="44"/>
  </r>
  <r>
    <x v="1"/>
    <x v="27"/>
    <n v="494.48967597553002"/>
    <x v="66"/>
    <x v="66"/>
    <n v="56.241265292869599"/>
    <s v="0.4¹"/>
    <s v="—"/>
    <s v="—"/>
    <s v="—"/>
    <n v="4.1132357465660601"/>
    <n v="4.2006702758040397"/>
    <n v="4.1909912763040902"/>
    <s v="—"/>
    <n v="14.3619950006841"/>
    <n v="0.84"/>
    <n v="-0.211548293759172"/>
    <s v="—"/>
    <s v="—"/>
    <x v="1"/>
  </r>
  <r>
    <x v="1"/>
    <x v="28"/>
    <n v="500.96378846276201"/>
    <x v="67"/>
    <x v="67"/>
    <n v="61.599728248678403"/>
    <n v="-0.12977305859284199"/>
    <s v="—"/>
    <s v="—"/>
    <s v="—"/>
    <n v="3.6979864886087999"/>
    <n v="2.7097501780545499"/>
    <n v="4.2595947590656396"/>
    <s v="—"/>
    <s v="—"/>
    <s v="—"/>
    <n v="0.36308951027664799"/>
    <s v="—"/>
    <s v="—"/>
    <x v="45"/>
  </r>
  <r>
    <x v="1"/>
    <x v="29"/>
    <n v="515.647874653798"/>
    <x v="68"/>
    <x v="68"/>
    <n v="49.757149764191503"/>
    <n v="7.0508882631828598E-2"/>
    <s v="—"/>
    <s v="—"/>
    <s v="—"/>
    <n v="4.6851284385460401"/>
    <n v="3.7927412350967402"/>
    <n v="5.0262163569776197"/>
    <n v="86.2060834715748"/>
    <n v="8.0833072245588493"/>
    <n v="0.85"/>
    <n v="-0.24306037047125401"/>
    <s v="—"/>
    <s v="—"/>
    <x v="46"/>
  </r>
  <r>
    <x v="1"/>
    <x v="30"/>
    <n v="492.487406151968"/>
    <x v="69"/>
    <x v="69"/>
    <n v="49.519760691685399"/>
    <s v="-0.25¹"/>
    <s v="—"/>
    <n v="0.39159936631306602"/>
    <s v="—"/>
    <n v="3.86779015580955"/>
    <n v="3.1259694645023002"/>
    <n v="3.5169437607821701"/>
    <n v="221.72931015884001"/>
    <n v="10.398394895542699"/>
    <n v="0.82"/>
    <n v="0.124690237852842"/>
    <s v="—"/>
    <s v="—"/>
    <x v="47"/>
  </r>
  <r>
    <x v="1"/>
    <x v="31"/>
    <n v="486.16485422120797"/>
    <x v="70"/>
    <x v="70"/>
    <n v="48.555174029646103"/>
    <s v="0.08¹"/>
    <s v="—"/>
    <s v="—"/>
    <s v="—"/>
    <s v="4¹"/>
    <s v="3.3¹"/>
    <s v="4.3¹"/>
    <n v="78.268613647575094"/>
    <n v="12.8804666761256"/>
    <n v="0.87"/>
    <n v="-0.28267670943871798"/>
    <s v="—"/>
    <s v="—"/>
    <x v="0"/>
  </r>
  <r>
    <x v="1"/>
    <x v="32"/>
    <n v="508.89754406909998"/>
    <x v="71"/>
    <x v="71"/>
    <n v="52.314159419482998"/>
    <s v="-0.11¹"/>
    <s v="—"/>
    <s v="—"/>
    <s v="—"/>
    <n v="3.6899337373400698"/>
    <n v="4.3022846540431399"/>
    <n v="3.8910284383762002"/>
    <n v="130.66040644448299"/>
    <n v="8.8226836205156207"/>
    <n v="0.88"/>
    <n v="-0.105413389049461"/>
    <s v="—"/>
    <s v="—"/>
    <x v="48"/>
  </r>
  <r>
    <x v="1"/>
    <x v="33"/>
    <n v="481.39261258441798"/>
    <x v="72"/>
    <x v="24"/>
    <n v="48.628161164909898"/>
    <s v="-0.21¹"/>
    <s v="—"/>
    <s v="—"/>
    <s v="—"/>
    <s v="4¹"/>
    <s v="3.5¹"/>
    <s v="3.8¹"/>
    <n v="81.268239002922101"/>
    <n v="11.984157907839"/>
    <s v="0.92¹"/>
    <n v="0.46335925525819699"/>
    <s v="—"/>
    <s v="—"/>
    <x v="49"/>
  </r>
  <r>
    <x v="1"/>
    <x v="34"/>
    <n v="502.38770215454201"/>
    <x v="73"/>
    <x v="72"/>
    <n v="59.502446829674597"/>
    <n v="-0.120031945327377"/>
    <s v="—"/>
    <s v="—"/>
    <s v="—"/>
    <n v="3.2442184435949599"/>
    <n v="3.0601775969765801"/>
    <n v="3.0422392203237298"/>
    <s v="—"/>
    <n v="11.910666318272201"/>
    <n v="0.79"/>
    <n v="3.1444563882453098E-2"/>
    <s v="—"/>
    <s v="—"/>
    <x v="50"/>
  </r>
  <r>
    <x v="1"/>
    <x v="35"/>
    <n v="515.31471310951599"/>
    <x v="74"/>
    <x v="73"/>
    <n v="52.582677818243098"/>
    <s v="0¹"/>
    <s v="—"/>
    <s v="—"/>
    <s v="—"/>
    <s v="4¹"/>
    <s v="3.3¹"/>
    <s v="4.3¹"/>
    <n v="144.59364403740599"/>
    <n v="12.9435282331808"/>
    <n v="0.84"/>
    <n v="0.29679820657262501"/>
    <s v="—"/>
    <s v="—"/>
    <x v="51"/>
  </r>
  <r>
    <x v="1"/>
    <x v="36"/>
    <n v="453.50777743499202"/>
    <x v="75"/>
    <x v="74"/>
    <n v="37.711605640465599"/>
    <n v="-4.7951930391868597E-2"/>
    <s v="—"/>
    <s v="—"/>
    <s v="—"/>
    <n v="5.6734996607956099"/>
    <n v="4.9647511954641796"/>
    <n v="5.0323000697236502"/>
    <n v="171.87157357356099"/>
    <n v="13.4526563537647"/>
    <n v="0.85"/>
    <n v="-0.135908067075803"/>
    <s v="—"/>
    <s v="—"/>
    <x v="52"/>
  </r>
  <r>
    <x v="1"/>
    <x v="37"/>
    <n v="501.76989918504597"/>
    <x v="76"/>
    <x v="75"/>
    <n v="58.025653797613302"/>
    <n v="0.240869947713578"/>
    <s v="—"/>
    <s v="—"/>
    <s v="—"/>
    <n v="4.4559097700614601"/>
    <n v="5.4791614350562803"/>
    <n v="4.5815978457628601"/>
    <n v="178.62371754217199"/>
    <s v="15¹"/>
    <s v="0.96¹"/>
    <n v="-0.19135250626490199"/>
    <s v="—"/>
    <s v="—"/>
    <x v="12"/>
  </r>
  <r>
    <x v="1"/>
    <x v="38"/>
    <n v="478.24471737264298"/>
    <x v="77"/>
    <x v="76"/>
    <n v="55.729902578285603"/>
    <n v="0.153372559006447"/>
    <s v="—"/>
    <s v="—"/>
    <s v="—"/>
    <n v="3.9453451915642201"/>
    <n v="3.97852847951467"/>
    <n v="4.0885350882350302"/>
    <n v="378.64414944622001"/>
    <s v="17¹"/>
    <s v="0.93¹"/>
    <n v="-0.23639556857531899"/>
    <s v="—"/>
    <s v="—"/>
    <x v="53"/>
  </r>
  <r>
    <x v="2"/>
    <x v="0"/>
    <n v="484.879396687145"/>
    <x v="78"/>
    <x v="77"/>
    <n v="51.372553597854598"/>
    <s v="—"/>
    <s v="—"/>
    <n v="3.4115074932765402E-2"/>
    <s v="—"/>
    <n v="4.3023272740070597"/>
    <n v="4.2220742306829999"/>
    <n v="4.2350935520048596"/>
    <n v="162.100527402788"/>
    <n v="13.492871280163399"/>
    <n v="0.83"/>
    <n v="-4.2888589248537496E-3"/>
    <s v="—"/>
    <s v="—"/>
    <x v="0"/>
  </r>
  <r>
    <x v="2"/>
    <x v="1"/>
    <n v="493.89623127583502"/>
    <x v="79"/>
    <x v="78"/>
    <n v="57.479633975525601"/>
    <s v="—"/>
    <s v="—"/>
    <s v="—"/>
    <s v="—"/>
    <n v="4.3351604113384798"/>
    <n v="3.8441503439737601"/>
    <n v="4.2906235144161498"/>
    <n v="173.48078665969001"/>
    <n v="13.135529194969401"/>
    <n v="0.95"/>
    <n v="-0.12495262989150401"/>
    <s v="—"/>
    <s v="—"/>
    <x v="1"/>
  </r>
  <r>
    <x v="2"/>
    <x v="2"/>
    <n v="496.74227394757099"/>
    <x v="80"/>
    <x v="79"/>
    <n v="51.331178394277302"/>
    <s v="—"/>
    <s v="—"/>
    <s v="—"/>
    <s v="—"/>
    <n v="2.8426631451581601"/>
    <n v="5.7753644359292897"/>
    <n v="2.8455197174859901"/>
    <n v="135.57480241790901"/>
    <n v="11.731096198391199"/>
    <n v="0.84"/>
    <n v="0.44256877658347499"/>
    <s v="—"/>
    <s v="—"/>
    <x v="54"/>
  </r>
  <r>
    <x v="2"/>
    <x v="3"/>
    <n v="506.98436237796602"/>
    <x v="81"/>
    <x v="80"/>
    <n v="52.706326057829799"/>
    <s v="—"/>
    <s v="—"/>
    <s v="‡"/>
    <s v="—"/>
    <n v="4.0832328372651503"/>
    <n v="3.5027988545671498"/>
    <n v="4.13776405925252"/>
    <n v="129.32791333465801"/>
    <n v="9.1205820251299006"/>
    <n v="0.85"/>
    <n v="1.3958726711530299E-2"/>
    <s v="—"/>
    <s v="—"/>
    <x v="55"/>
  </r>
  <r>
    <x v="2"/>
    <x v="4"/>
    <n v="515.64742796862197"/>
    <x v="82"/>
    <x v="81"/>
    <n v="58.064489652140701"/>
    <s v="—"/>
    <s v="—"/>
    <s v="—"/>
    <s v="—"/>
    <n v="4.0314828592350596"/>
    <n v="3.9429085145097198"/>
    <n v="4.2257220265876496"/>
    <n v="226.53325202494301"/>
    <n v="15.9418741201501"/>
    <n v="0.95"/>
    <n v="-0.11249825925669001"/>
    <s v="—"/>
    <s v="—"/>
    <x v="12"/>
  </r>
  <r>
    <x v="2"/>
    <x v="5"/>
    <n v="422.67135789264699"/>
    <x v="83"/>
    <x v="82"/>
    <n v="44.582644336623801"/>
    <s v="—"/>
    <s v="—"/>
    <n v="0.206174533596967"/>
    <s v="—"/>
    <n v="6.7672065209186698"/>
    <n v="5.5707061664293303"/>
    <n v="6.3404201492165804"/>
    <n v="140.127213338085"/>
    <n v="20.7428589336347"/>
    <n v="0.21"/>
    <n v="-3.5440094342720101E-2"/>
    <s v="—"/>
    <s v="—"/>
    <x v="56"/>
  </r>
  <r>
    <x v="2"/>
    <x v="6"/>
    <n v="389.64382784956803"/>
    <x v="84"/>
    <x v="83"/>
    <n v="42.556107136157003"/>
    <s v="—"/>
    <s v="—"/>
    <s v="—"/>
    <s v="—"/>
    <n v="3.8365047065844999"/>
    <n v="3.48047442117731"/>
    <n v="3.51371669664382"/>
    <n v="113.061395469128"/>
    <n v="28.450774008012999"/>
    <n v="0.1"/>
    <n v="-0.30931833591403601"/>
    <s v="—"/>
    <s v="—"/>
    <x v="0"/>
  </r>
  <r>
    <x v="2"/>
    <x v="7"/>
    <n v="400.25337289933998"/>
    <x v="85"/>
    <x v="84"/>
    <n v="45.237106516853203"/>
    <s v="—"/>
    <s v="—"/>
    <s v="—"/>
    <s v="—"/>
    <n v="5.0416390093724797"/>
    <n v="5.5589778303734398"/>
    <n v="4.6641943779942103"/>
    <n v="144.428814620461"/>
    <n v="16.934701932263302"/>
    <n v="0.88"/>
    <n v="-0.15763545077526001"/>
    <s v="—"/>
    <s v="—"/>
    <x v="0"/>
  </r>
  <r>
    <x v="2"/>
    <x v="8"/>
    <n v="492.32543802363699"/>
    <x v="86"/>
    <x v="85"/>
    <n v="47.533651684034403"/>
    <s v="—"/>
    <s v="—"/>
    <s v="—"/>
    <s v="—"/>
    <n v="4.1247571326929604"/>
    <n v="5.4701563351754796"/>
    <n v="4.0838480629701603"/>
    <n v="77.795186112221998"/>
    <n v="13.3375635113683"/>
    <n v="0.93"/>
    <n v="-0.24638287230953099"/>
    <s v="—"/>
    <s v="—"/>
    <x v="5"/>
  </r>
  <r>
    <x v="2"/>
    <x v="9"/>
    <n v="511.08763183479101"/>
    <x v="87"/>
    <x v="86"/>
    <n v="56.202913715077202"/>
    <s v="—"/>
    <s v="—"/>
    <s v="—"/>
    <s v="—"/>
    <n v="5.0523837097427799"/>
    <n v="4.1843282811593401"/>
    <n v="6.7357728596619602"/>
    <n v="59.562245727858397"/>
    <n v="12.7202223436623"/>
    <s v="—"/>
    <n v="0.14176352585527599"/>
    <s v="—"/>
    <s v="—"/>
    <x v="30"/>
  </r>
  <r>
    <x v="2"/>
    <x v="10"/>
    <n v="519.52913230813999"/>
    <x v="88"/>
    <x v="87"/>
    <n v="52.321571977349699"/>
    <s v="—"/>
    <s v="—"/>
    <s v="—"/>
    <s v="—"/>
    <n v="4.6794046098834796"/>
    <n v="4.8277768803996102"/>
    <n v="4.1954195522634397"/>
    <n v="53.3142063654672"/>
    <n v="11.8804799529146"/>
    <n v="0.89"/>
    <n v="-6.2700866025942006E-2"/>
    <s v="—"/>
    <s v="—"/>
    <x v="57"/>
  </r>
  <r>
    <x v="2"/>
    <x v="11"/>
    <n v="511.076852960152"/>
    <x v="89"/>
    <x v="88"/>
    <n v="52.962594626885597"/>
    <s v="—"/>
    <s v="—"/>
    <s v="—"/>
    <s v="—"/>
    <n v="3.6299533355230502"/>
    <n v="3.5882757421138902"/>
    <n v="3.1504647656688398"/>
    <n v="111.13639726099299"/>
    <n v="10.297194423126999"/>
    <n v="0.93"/>
    <n v="9.1093825672071804E-2"/>
    <s v="—"/>
    <s v="—"/>
    <x v="58"/>
  </r>
  <r>
    <x v="2"/>
    <x v="12"/>
    <n v="492.92040179419001"/>
    <x v="90"/>
    <x v="89"/>
    <n v="51.308749358400902"/>
    <s v="—"/>
    <s v="—"/>
    <n v="-5.2441179406361303E-2"/>
    <s v="—"/>
    <n v="3.8713708509366"/>
    <n v="3.2283583663413"/>
    <n v="4.06852020905204"/>
    <n v="253.18383062271599"/>
    <n v="12.340552005607501"/>
    <n v="0.78"/>
    <n v="-5.9411392633774297E-2"/>
    <s v="—"/>
    <s v="—"/>
    <x v="57"/>
  </r>
  <r>
    <x v="2"/>
    <x v="13"/>
    <n v="505.971282413447"/>
    <x v="91"/>
    <x v="90"/>
    <n v="51.503170307199703"/>
    <s v="—"/>
    <s v="—"/>
    <n v="8.9575858730718702E-2"/>
    <s v="—"/>
    <n v="4.03362327895635"/>
    <n v="4.6796939163955802"/>
    <n v="4.1710219457038802"/>
    <n v="105.888705878951"/>
    <n v="14.666389690688201"/>
    <n v="0.88"/>
    <n v="0.28791762126030102"/>
    <s v="—"/>
    <s v="—"/>
    <x v="59"/>
  </r>
  <r>
    <x v="2"/>
    <x v="14"/>
    <n v="453.62985069574103"/>
    <x v="92"/>
    <x v="91"/>
    <n v="50.010886851437398"/>
    <s v="—"/>
    <s v="—"/>
    <s v="—"/>
    <s v="—"/>
    <n v="4.5669488503891502"/>
    <n v="5.03618869843553"/>
    <n v="3.6223045823293099"/>
    <n v="90.7088275942763"/>
    <n v="9.5831049124683005"/>
    <n v="0.87"/>
    <n v="0.100258991275799"/>
    <s v="—"/>
    <s v="—"/>
    <x v="60"/>
  </r>
  <r>
    <x v="2"/>
    <x v="15"/>
    <n v="476.830880844202"/>
    <x v="93"/>
    <x v="92"/>
    <n v="47.577021392919697"/>
    <s v="—"/>
    <s v="—"/>
    <s v="—"/>
    <s v="—"/>
    <n v="3.4120522430136502"/>
    <n v="4.15207534054659"/>
    <n v="3.62509783505085"/>
    <n v="108.11343873188299"/>
    <n v="9.8596896637800793"/>
    <s v="—"/>
    <n v="6.0062884217977203E-2"/>
    <s v="—"/>
    <s v="—"/>
    <x v="61"/>
  </r>
  <r>
    <x v="2"/>
    <x v="16"/>
    <n v="488.03318437567901"/>
    <x v="94"/>
    <x v="93"/>
    <n v="60.408808299301"/>
    <s v="—"/>
    <s v="—"/>
    <s v="—"/>
    <s v="—"/>
    <n v="5.1999595006581298"/>
    <n v="3.04146220757888"/>
    <n v="5.28807427147947"/>
    <n v="56.050827243332897"/>
    <n v="9.9121137472618503"/>
    <n v="0.86"/>
    <n v="0.19424909705981699"/>
    <s v="—"/>
    <s v="—"/>
    <x v="62"/>
  </r>
  <r>
    <x v="2"/>
    <x v="17"/>
    <n v="503.72199741628901"/>
    <x v="95"/>
    <x v="94"/>
    <n v="52.834752101223799"/>
    <s v="—"/>
    <s v="—"/>
    <n v="-0.159968047472618"/>
    <s v="—"/>
    <n v="4.7642604611145103"/>
    <n v="3.6047542352734401"/>
    <n v="4.5671455070589602"/>
    <n v="110.69645714322399"/>
    <n v="14.447486101259701"/>
    <n v="0.98"/>
    <n v="-1.51040341607138E-2"/>
    <s v="—"/>
    <s v="—"/>
    <x v="63"/>
  </r>
  <r>
    <x v="2"/>
    <x v="18"/>
    <n v="469.66945406512002"/>
    <x v="96"/>
    <x v="95"/>
    <n v="59.8477637926296"/>
    <s v="—"/>
    <s v="—"/>
    <s v="—"/>
    <s v="—"/>
    <n v="5.1265309750530896"/>
    <n v="4.3894907466925597"/>
    <n v="4.1704117704744998"/>
    <n v="169.29025535789299"/>
    <n v="11.5558128867264"/>
    <n v="0.74"/>
    <s v="—"/>
    <s v="—"/>
    <s v="—"/>
    <x v="64"/>
  </r>
  <r>
    <x v="2"/>
    <x v="19"/>
    <n v="489.72873084112098"/>
    <x v="97"/>
    <x v="96"/>
    <n v="49.651665627949598"/>
    <s v="—"/>
    <s v="—"/>
    <n v="0.23481033095541401"/>
    <s v="—"/>
    <n v="3.9909050423360699"/>
    <n v="2.70622509406099"/>
    <n v="4.8572297187223201"/>
    <n v="185.88588780725601"/>
    <n v="10.495094223167801"/>
    <n v="0.88"/>
    <n v="5.2222952900757298E-2"/>
    <s v="—"/>
    <s v="—"/>
    <x v="42"/>
  </r>
  <r>
    <x v="2"/>
    <x v="20"/>
    <n v="532.43987221639497"/>
    <x v="98"/>
    <x v="97"/>
    <n v="50.590243925628997"/>
    <s v="—"/>
    <s v="—"/>
    <s v="—"/>
    <s v="—"/>
    <n v="4.7458763771894601"/>
    <n v="3.4365727655940401"/>
    <n v="4.3451979538700698"/>
    <n v="259.616930434712"/>
    <n v="11.5192729469158"/>
    <n v="0.97"/>
    <n v="-3.3182288945748803E-2"/>
    <s v="—"/>
    <s v="—"/>
    <x v="65"/>
  </r>
  <r>
    <x v="2"/>
    <x v="21"/>
    <n v="524.10621634915196"/>
    <x v="99"/>
    <x v="98"/>
    <n v="52.127836626395002"/>
    <s v="—"/>
    <s v="—"/>
    <n v="-0.56871166626856995"/>
    <s v="—"/>
    <n v="4.2355416344547399"/>
    <n v="3.4445038364517502"/>
    <n v="4.0434972152024402"/>
    <n v="321.06081689278199"/>
    <n v="15.0869071081211"/>
    <n v="0.95"/>
    <n v="0.15950222746079901"/>
    <s v="—"/>
    <s v="—"/>
    <x v="0"/>
  </r>
  <r>
    <x v="2"/>
    <x v="22"/>
    <n v="482.30507170027403"/>
    <x v="100"/>
    <x v="99"/>
    <n v="50.975665706441497"/>
    <s v="—"/>
    <s v="—"/>
    <s v="—"/>
    <s v="—"/>
    <n v="5.54718062090926"/>
    <n v="6.3213680196712403"/>
    <n v="3.8639826216603299"/>
    <n v="40.867231949013899"/>
    <n v="10.089051007119799"/>
    <n v="0.65"/>
    <n v="-0.20130719085450199"/>
    <s v="—"/>
    <s v="—"/>
    <x v="66"/>
  </r>
  <r>
    <x v="2"/>
    <x v="23"/>
    <n v="478.38338181624698"/>
    <x v="101"/>
    <x v="100"/>
    <n v="51.556582501024302"/>
    <s v="—"/>
    <s v="—"/>
    <s v="—"/>
    <s v="—"/>
    <n v="3.8640935759226598"/>
    <n v="5.7732848141543203"/>
    <n v="4.54597628789951"/>
    <n v="91.112042872456499"/>
    <n v="10.3921661360645"/>
    <n v="0.99"/>
    <n v="-0.26798720344711202"/>
    <s v="—"/>
    <s v="—"/>
    <x v="67"/>
  </r>
  <r>
    <x v="2"/>
    <x v="24"/>
    <n v="485.77062816150499"/>
    <x v="102"/>
    <x v="101"/>
    <n v="48.788617418681"/>
    <s v="—"/>
    <s v="—"/>
    <n v="8.8479764160069099E-2"/>
    <s v="—"/>
    <n v="3.9926313503503699"/>
    <n v="3.7207943090547202"/>
    <n v="3.84304486239302"/>
    <n v="250.328249850568"/>
    <n v="9.6602464780146207"/>
    <n v="0.72"/>
    <n v="0.13697832147231101"/>
    <s v="—"/>
    <s v="—"/>
    <x v="35"/>
  </r>
  <r>
    <x v="2"/>
    <x v="25"/>
    <n v="408.02347764199698"/>
    <x v="103"/>
    <x v="102"/>
    <n v="39.972752022600801"/>
    <s v="—"/>
    <s v="—"/>
    <n v="1.3497518830767E-2"/>
    <s v="—"/>
    <n v="4.6350836618312199"/>
    <n v="4.5001397643692203"/>
    <n v="4.4952844627773301"/>
    <n v="364.47644411664101"/>
    <n v="28.495863717795299"/>
    <n v="0.35"/>
    <n v="-0.144373991312991"/>
    <s v="—"/>
    <s v="—"/>
    <x v="1"/>
  </r>
  <r>
    <x v="2"/>
    <x v="26"/>
    <n v="512.25278984946397"/>
    <x v="104"/>
    <x v="103"/>
    <n v="54.491082666435197"/>
    <s v="—"/>
    <s v="—"/>
    <s v="—"/>
    <s v="—"/>
    <n v="3.0935967909816"/>
    <n v="5.1801803828523596"/>
    <n v="3.4560930073476999"/>
    <n v="219.10451436890699"/>
    <n v="20.3783371893877"/>
    <n v="0.81"/>
    <n v="0.166226859714348"/>
    <s v="—"/>
    <s v="—"/>
    <x v="30"/>
  </r>
  <r>
    <x v="2"/>
    <x v="27"/>
    <n v="495.22325640525003"/>
    <x v="105"/>
    <x v="104"/>
    <n v="57.377247346542397"/>
    <s v="—"/>
    <s v="—"/>
    <s v="—"/>
    <s v="—"/>
    <n v="4.2762807417712603"/>
    <n v="4.4257095103144399"/>
    <n v="4.3289581709595799"/>
    <s v="—"/>
    <n v="14.5967612821436"/>
    <n v="0.9"/>
    <n v="-0.168414289389721"/>
    <s v="—"/>
    <s v="—"/>
    <x v="1"/>
  </r>
  <r>
    <x v="2"/>
    <x v="28"/>
    <n v="501.72981494419702"/>
    <x v="106"/>
    <x v="105"/>
    <n v="61.7679745099367"/>
    <s v="—"/>
    <s v="—"/>
    <s v="—"/>
    <s v="—"/>
    <n v="3.7751085799296198"/>
    <n v="2.74664286943786"/>
    <n v="4.29714045028856"/>
    <n v="100.82384265468001"/>
    <n v="10.2109504778829"/>
    <n v="0.84"/>
    <n v="0.210412850292055"/>
    <s v="—"/>
    <s v="—"/>
    <x v="68"/>
  </r>
  <r>
    <x v="2"/>
    <x v="29"/>
    <n v="504.46925137393799"/>
    <x v="107"/>
    <x v="106"/>
    <n v="45.683914946399803"/>
    <s v="—"/>
    <s v="—"/>
    <s v="—"/>
    <s v="—"/>
    <n v="4.6905520673829999"/>
    <n v="3.9983280779321602"/>
    <n v="5.0823651366407203"/>
    <n v="87.526282263947195"/>
    <n v="8.6892378049015697"/>
    <n v="0.95"/>
    <n v="-0.25241081607904697"/>
    <s v="—"/>
    <s v="—"/>
    <x v="63"/>
  </r>
  <r>
    <x v="2"/>
    <x v="30"/>
    <n v="491.62696786043801"/>
    <x v="108"/>
    <x v="107"/>
    <n v="48.631210017464497"/>
    <s v="—"/>
    <s v="—"/>
    <n v="0.29451853887128498"/>
    <s v="—"/>
    <n v="4.0197572684357601"/>
    <n v="3.57483656304457"/>
    <n v="3.7038167314984798"/>
    <n v="227.10015287101399"/>
    <n v="11.0134153446547"/>
    <n v="0.92"/>
    <n v="0.103803920573678"/>
    <s v="—"/>
    <s v="—"/>
    <x v="69"/>
  </r>
  <r>
    <x v="2"/>
    <x v="31"/>
    <n v="475.230105289991"/>
    <x v="109"/>
    <x v="108"/>
    <n v="47.794081344254003"/>
    <s v="—"/>
    <s v="—"/>
    <s v="—"/>
    <s v="—"/>
    <n v="4.1218489889012302"/>
    <n v="4.0894837936801602"/>
    <n v="4.2455709776218198"/>
    <n v="80.077571786246494"/>
    <n v="12.6090999189638"/>
    <n v="0.92"/>
    <n v="-0.278124501035585"/>
    <s v="—"/>
    <s v="—"/>
    <x v="0"/>
  </r>
  <r>
    <x v="2"/>
    <x v="32"/>
    <n v="509.919632114553"/>
    <x v="110"/>
    <x v="109"/>
    <n v="52.314897828444899"/>
    <s v="—"/>
    <s v="—"/>
    <s v="—"/>
    <s v="—"/>
    <n v="3.5974256953964199"/>
    <n v="4.6790721026924604"/>
    <n v="3.8667746857902201"/>
    <n v="145.29012729111699"/>
    <n v="10.770321052776"/>
    <n v="0.97"/>
    <n v="-9.7579664997918605E-2"/>
    <s v="—"/>
    <s v="—"/>
    <x v="70"/>
  </r>
  <r>
    <x v="2"/>
    <x v="33"/>
    <n v="485.84321733005697"/>
    <x v="111"/>
    <x v="110"/>
    <n v="47.968050173483498"/>
    <s v="—"/>
    <s v="—"/>
    <n v="0.19521509732998299"/>
    <s v="—"/>
    <n v="3.89081765479275"/>
    <n v="3.5512576395032598"/>
    <n v="3.7019962086871301"/>
    <n v="77.761729381332799"/>
    <n v="12.5260367973663"/>
    <n v="0.89"/>
    <n v="0.469555469913636"/>
    <s v="—"/>
    <s v="—"/>
    <x v="71"/>
  </r>
  <r>
    <x v="2"/>
    <x v="34"/>
    <n v="493.91812212912998"/>
    <x v="112"/>
    <x v="111"/>
    <n v="57.730117112662597"/>
    <s v="—"/>
    <s v="—"/>
    <s v="—"/>
    <s v="—"/>
    <n v="3.2173876871544298"/>
    <n v="3.0325110339805001"/>
    <n v="3.1573605944284999"/>
    <s v="—"/>
    <n v="11.472882435607399"/>
    <n v="0.86"/>
    <n v="3.9172530931397199E-2"/>
    <s v="—"/>
    <s v="—"/>
    <x v="72"/>
  </r>
  <r>
    <x v="2"/>
    <x v="35"/>
    <n v="521.2505751832"/>
    <x v="113"/>
    <x v="112"/>
    <n v="53.037899395018798"/>
    <s v="—"/>
    <s v="—"/>
    <s v="—"/>
    <s v="—"/>
    <n v="4.5576207772357096"/>
    <n v="3.2870424262309701"/>
    <n v="4.4414667151213996"/>
    <n v="181.98992075488599"/>
    <n v="12.2151992214862"/>
    <n v="0.81"/>
    <n v="0.35618456221454398"/>
    <s v="—"/>
    <s v="—"/>
    <x v="7"/>
  </r>
  <r>
    <x v="2"/>
    <x v="36"/>
    <n v="420.45397947154299"/>
    <x v="114"/>
    <x v="113"/>
    <n v="36.695698546352197"/>
    <s v="—"/>
    <s v="—"/>
    <s v="—"/>
    <s v="—"/>
    <n v="5.51244925470853"/>
    <n v="4.9395291920137598"/>
    <n v="4.23367248516373"/>
    <n v="241.88390342190999"/>
    <n v="15.1565221965066"/>
    <n v="0.92"/>
    <n v="-0.43675143558458501"/>
    <s v="—"/>
    <s v="—"/>
    <x v="73"/>
  </r>
  <r>
    <x v="2"/>
    <x v="37"/>
    <n v="492.47853067251202"/>
    <x v="115"/>
    <x v="114"/>
    <n v="56.3972897575877"/>
    <s v="—"/>
    <s v="—"/>
    <s v="‡"/>
    <s v="—"/>
    <n v="4.2215762407625901"/>
    <n v="5.1178312846230298"/>
    <n v="4.3667462857778201"/>
    <n v="353.27760677325699"/>
    <n v="14.6710208126902"/>
    <n v="0.92"/>
    <n v="-9.3402753689734996E-2"/>
    <s v="—"/>
    <s v="—"/>
    <x v="74"/>
  </r>
  <r>
    <x v="2"/>
    <x v="38"/>
    <n v="469.62849181761402"/>
    <x v="116"/>
    <x v="115"/>
    <n v="54.134839069303901"/>
    <s v="—"/>
    <s v="—"/>
    <s v="—"/>
    <s v="—"/>
    <n v="4.1035679639850704"/>
    <n v="4.0355659692200101"/>
    <n v="4.3613385010237797"/>
    <n v="349.16117510595399"/>
    <n v="16.0226968432288"/>
    <n v="0.92"/>
    <n v="-8.7642853682243907E-2"/>
    <s v="—"/>
    <s v="—"/>
    <x v="75"/>
  </r>
  <r>
    <x v="3"/>
    <x v="0"/>
    <n v="488.16415371678102"/>
    <x v="117"/>
    <x v="116"/>
    <n v="50.039313301809997"/>
    <s v="—"/>
    <s v="—"/>
    <s v="—"/>
    <n v="3.0502014842886199E-2"/>
    <n v="4.2034372084948499"/>
    <n v="3.9422580794268498"/>
    <n v="4.1285559851598199"/>
    <n v="161.89672296975499"/>
    <n v="13.687923312538601"/>
    <s v="—"/>
    <n v="1.5877230998836499E-2"/>
    <s v="—"/>
    <s v="—"/>
    <x v="0"/>
  </r>
  <r>
    <x v="3"/>
    <x v="1"/>
    <n v="504.15076626947399"/>
    <x v="118"/>
    <x v="117"/>
    <n v="57.388256405606597"/>
    <s v="—"/>
    <s v="—"/>
    <s v="—"/>
    <n v="0.29469257494377898"/>
    <s v="4¹"/>
    <s v="4.2¹"/>
    <s v="4.3¹"/>
    <n v="161.71870729594599"/>
    <n v="13.1500084393719"/>
    <s v="—"/>
    <n v="-0.15211678301110901"/>
    <s v="—"/>
    <s v="—"/>
    <x v="1"/>
  </r>
  <r>
    <x v="3"/>
    <x v="2"/>
    <n v="505.54074304018798"/>
    <x v="119"/>
    <x v="118"/>
    <n v="48.922825469931098"/>
    <s v="—"/>
    <s v="—"/>
    <s v="—"/>
    <n v="-0.45837322836636402"/>
    <s v="3¹"/>
    <s v="4¹"/>
    <s v="2.9¹"/>
    <n v="138.213640327832"/>
    <n v="11.016393430977001"/>
    <s v="—"/>
    <n v="0.54935322778412399"/>
    <s v="—"/>
    <s v="—"/>
    <x v="54"/>
  </r>
  <r>
    <x v="3"/>
    <x v="3"/>
    <n v="514.52924489034001"/>
    <x v="120"/>
    <x v="119"/>
    <n v="51.616551853544699"/>
    <s v="—"/>
    <s v="—"/>
    <s v="—"/>
    <n v="-0.14333509806188799"/>
    <s v="4¹"/>
    <s v="3.2¹"/>
    <s v="4.1¹"/>
    <n v="129.84517251014799"/>
    <n v="9.2746976811246409"/>
    <s v="—"/>
    <n v="-5.4842921016395201E-2"/>
    <s v="—"/>
    <s v="—"/>
    <x v="68"/>
  </r>
  <r>
    <x v="3"/>
    <x v="4"/>
    <n v="518.07039965409899"/>
    <x v="121"/>
    <x v="120"/>
    <n v="55.3708504479509"/>
    <s v="—"/>
    <s v="—"/>
    <s v="—"/>
    <n v="0.217416260138103"/>
    <s v="4¹"/>
    <s v="4.2¹"/>
    <s v="4.3¹"/>
    <n v="250.11696644419001"/>
    <n v="15.6048279291493"/>
    <s v="—"/>
    <n v="-8.6657956262804203E-2"/>
    <s v="—"/>
    <s v="—"/>
    <x v="47"/>
  </r>
  <r>
    <x v="3"/>
    <x v="5"/>
    <n v="422.63235551239802"/>
    <x v="122"/>
    <x v="121"/>
    <n v="40.844594344803902"/>
    <s v="—"/>
    <s v="—"/>
    <s v="—"/>
    <n v="0.413604614941605"/>
    <s v="6¹"/>
    <s v="4.7¹"/>
    <s v="5.8¹"/>
    <n v="133.92855435011799"/>
    <n v="22.095616849219301"/>
    <s v="—"/>
    <n v="0.136209110242653"/>
    <s v="—"/>
    <s v="—"/>
    <x v="1"/>
  </r>
  <r>
    <x v="3"/>
    <x v="6"/>
    <n v="376.48860104617"/>
    <x v="123"/>
    <x v="122"/>
    <n v="39.5038257937765"/>
    <s v="—"/>
    <s v="—"/>
    <s v="—"/>
    <n v="0.50075832410680199"/>
    <s v="4¹"/>
    <s v="3¹"/>
    <s v="3.3¹"/>
    <n v="130.24468586203801"/>
    <n v="27.011568203909501"/>
    <s v="—"/>
    <n v="0.21201905976223001"/>
    <s v="—"/>
    <s v="—"/>
    <x v="0"/>
  </r>
  <r>
    <x v="3"/>
    <x v="7"/>
    <n v="406.99986717469"/>
    <x v="124"/>
    <x v="123"/>
    <n v="42.249934572105303"/>
    <s v="—"/>
    <s v="—"/>
    <s v="—"/>
    <n v="0.530266912621152"/>
    <s v="5¹"/>
    <s v="5.1¹"/>
    <s v="4.7¹"/>
    <n v="143.15413322565101"/>
    <n v="20.4000233716603"/>
    <s v="—"/>
    <n v="0.38213552846809701"/>
    <s v="—"/>
    <s v="—"/>
    <x v="0"/>
  </r>
  <r>
    <x v="3"/>
    <x v="8"/>
    <n v="498.95788246319898"/>
    <x v="125"/>
    <x v="124"/>
    <n v="47.2052664538244"/>
    <s v="—"/>
    <s v="—"/>
    <s v="—"/>
    <n v="-0.225444619976158"/>
    <s v="4¹"/>
    <s v="4.8¹"/>
    <s v="4¹"/>
    <s v="71¹"/>
    <s v="13¹"/>
    <s v="—"/>
    <n v="-0.35880967919573897"/>
    <s v="—"/>
    <s v="—"/>
    <x v="76"/>
  </r>
  <r>
    <x v="3"/>
    <x v="9"/>
    <n v="500.02675667428201"/>
    <x v="126"/>
    <x v="125"/>
    <n v="54.660596737944502"/>
    <s v="—"/>
    <s v="—"/>
    <s v="—"/>
    <n v="0.19152688164429099"/>
    <s v="4¹"/>
    <s v="3.4¹"/>
    <s v="6.1¹"/>
    <n v="53.306692793579998"/>
    <n v="12.0917090531262"/>
    <s v="—"/>
    <n v="-4.51427870239084E-2"/>
    <s v="—"/>
    <s v="—"/>
    <x v="77"/>
  </r>
  <r>
    <x v="3"/>
    <x v="10"/>
    <n v="520.545521584124"/>
    <x v="127"/>
    <x v="126"/>
    <n v="50.675842884481"/>
    <s v="—"/>
    <s v="—"/>
    <s v="—"/>
    <n v="-0.109349049682155"/>
    <s v="5¹"/>
    <s v="4.4¹"/>
    <s v="4.4¹"/>
    <n v="50.505708042028999"/>
    <n v="11.373831711245501"/>
    <s v="—"/>
    <n v="-0.32650744188275299"/>
    <s v="—"/>
    <s v="—"/>
    <x v="35"/>
  </r>
  <r>
    <x v="3"/>
    <x v="11"/>
    <n v="518.75033527744199"/>
    <x v="128"/>
    <x v="127"/>
    <n v="55.565568351584403"/>
    <s v="—"/>
    <s v="—"/>
    <s v="—"/>
    <n v="0.15774833521645101"/>
    <s v="4¹"/>
    <s v="3.9¹"/>
    <s v="3.2¹"/>
    <n v="112.66140512195101"/>
    <n v="10.6053513776193"/>
    <s v="—"/>
    <n v="-0.22256595099781001"/>
    <s v="—"/>
    <s v="—"/>
    <x v="58"/>
  </r>
  <r>
    <x v="3"/>
    <x v="12"/>
    <n v="494.98467432577797"/>
    <x v="129"/>
    <x v="128"/>
    <n v="51.837688565153201"/>
    <s v="—"/>
    <s v="—"/>
    <s v="—"/>
    <n v="-0.22950316917483499"/>
    <s v="4¹"/>
    <s v="2.6¹"/>
    <s v="3.6¹"/>
    <n v="236.28639975114299"/>
    <n v="11.797773227318601"/>
    <s v="—"/>
    <n v="-0.107552470920791"/>
    <s v="—"/>
    <s v="—"/>
    <x v="51"/>
  </r>
  <r>
    <x v="3"/>
    <x v="13"/>
    <n v="513.52505569194"/>
    <x v="130"/>
    <x v="129"/>
    <n v="50.910109584021299"/>
    <s v="—"/>
    <s v="—"/>
    <s v="—"/>
    <n v="-0.31348709326961599"/>
    <s v="4¹"/>
    <s v="5.1¹"/>
    <s v="3.9¹"/>
    <n v="100.638632276308"/>
    <n v="15.1289425059284"/>
    <s v="—"/>
    <n v="0.26987371686008499"/>
    <s v="—"/>
    <s v="—"/>
    <x v="78"/>
  </r>
  <r>
    <x v="3"/>
    <x v="14"/>
    <n v="452.97342699591297"/>
    <x v="131"/>
    <x v="130"/>
    <n v="48.542146434638298"/>
    <s v="—"/>
    <s v="—"/>
    <s v="—"/>
    <n v="-0.15766720631505499"/>
    <s v="5¹"/>
    <s v="5.1¹"/>
    <s v="‡"/>
    <n v="104.397056294352"/>
    <n v="9.11253837062225"/>
    <s v="—"/>
    <n v="-0.14145355273552301"/>
    <s v="—"/>
    <s v="—"/>
    <x v="18"/>
  </r>
  <r>
    <x v="3"/>
    <x v="15"/>
    <n v="477.04445486961902"/>
    <x v="132"/>
    <x v="131"/>
    <n v="46.137342343592898"/>
    <s v="—"/>
    <s v="—"/>
    <s v="—"/>
    <n v="-0.20004148179519601"/>
    <s v="3¹"/>
    <s v="4.2¹"/>
    <s v="3.7¹"/>
    <n v="112.959511203421"/>
    <n v="12.413906825803499"/>
    <s v="—"/>
    <n v="0.112008475660225"/>
    <s v="—"/>
    <s v="—"/>
    <x v="26"/>
  </r>
  <r>
    <x v="3"/>
    <x v="16"/>
    <n v="492.795697508307"/>
    <x v="133"/>
    <x v="132"/>
    <n v="58.482470642434201"/>
    <s v="—"/>
    <s v="—"/>
    <s v="—"/>
    <n v="0.49111143237452698"/>
    <s v="5¹"/>
    <s v="3.1¹"/>
    <s v="5.4¹"/>
    <n v="85.618847138925403"/>
    <n v="10.5251421709266"/>
    <s v="—"/>
    <n v="0.35672594265035901"/>
    <s v="—"/>
    <s v="—"/>
    <x v="62"/>
  </r>
  <r>
    <x v="3"/>
    <x v="17"/>
    <n v="501.49746019070199"/>
    <x v="134"/>
    <x v="133"/>
    <n v="52.467079293302099"/>
    <s v="—"/>
    <s v="—"/>
    <s v="—"/>
    <n v="7.9768630522882703E-2"/>
    <s v="5¹"/>
    <s v="3.6¹"/>
    <s v="4.6¹"/>
    <n v="108.127678437184"/>
    <n v="14.3032103806091"/>
    <s v="—"/>
    <n v="-2.64895225844393E-2"/>
    <s v="—"/>
    <s v="—"/>
    <x v="79"/>
  </r>
  <r>
    <x v="3"/>
    <x v="18"/>
    <n v="466.48143036732"/>
    <x v="135"/>
    <x v="134"/>
    <n v="58.629779096318799"/>
    <s v="—"/>
    <s v="—"/>
    <s v="—"/>
    <n v="2.46024014559094E-2"/>
    <s v="5¹"/>
    <s v="3.7¹"/>
    <s v="3.9¹"/>
    <n v="165.21888418180399"/>
    <n v="10.840510045151399"/>
    <s v="—"/>
    <n v="0.41426197326853498"/>
    <s v="—"/>
    <s v="—"/>
    <x v="80"/>
  </r>
  <r>
    <x v="3"/>
    <x v="19"/>
    <n v="485.32118121405603"/>
    <x v="136"/>
    <x v="135"/>
    <n v="46.724180618617098"/>
    <s v="—"/>
    <s v="—"/>
    <s v="—"/>
    <n v="-0.188719166299543"/>
    <s v="4¹"/>
    <s v="2.4¹"/>
    <s v="4.9¹"/>
    <n v="162.78732169834399"/>
    <n v="10.312535392387"/>
    <s v="—"/>
    <n v="-0.214943905661136"/>
    <s v="—"/>
    <s v="—"/>
    <x v="39"/>
  </r>
  <r>
    <x v="3"/>
    <x v="20"/>
    <n v="536.40691858537605"/>
    <x v="137"/>
    <x v="136"/>
    <n v="50.019374844067897"/>
    <s v="—"/>
    <s v="—"/>
    <s v="—"/>
    <n v="-8.0848085987280993E-2"/>
    <s v="5¹"/>
    <s v="3.3¹"/>
    <s v="4¹"/>
    <n v="253.71861027154"/>
    <n v="11.643193114382701"/>
    <s v="—"/>
    <n v="-0.16092770381959801"/>
    <s v="—"/>
    <s v="—"/>
    <x v="28"/>
  </r>
  <r>
    <x v="3"/>
    <x v="21"/>
    <n v="553.76665874982803"/>
    <x v="138"/>
    <x v="137"/>
    <n v="53.382990584548303"/>
    <s v="—"/>
    <s v="—"/>
    <s v="—"/>
    <n v="-0.24675042595767199"/>
    <s v="4¹"/>
    <s v="4¹"/>
    <s v="4.1¹"/>
    <n v="364.53442311740002"/>
    <n v="16.1146423171385"/>
    <s v="—"/>
    <n v="-0.32019705037871599"/>
    <s v="—"/>
    <s v="—"/>
    <x v="0"/>
  </r>
  <r>
    <x v="3"/>
    <x v="22"/>
    <n v="490.57102183440901"/>
    <x v="139"/>
    <x v="138"/>
    <n v="48.118613452274097"/>
    <s v="—"/>
    <s v="—"/>
    <s v="—"/>
    <n v="6.3878901156072906E-2"/>
    <s v="6¹"/>
    <s v="5.7¹"/>
    <s v="3.9¹"/>
    <n v="44.0943980357982"/>
    <n v="9.9647202864476299"/>
    <s v="—"/>
    <n v="-0.20358692370888601"/>
    <s v="—"/>
    <s v="—"/>
    <x v="39"/>
  </r>
  <r>
    <x v="3"/>
    <x v="23"/>
    <n v="478.82327747364599"/>
    <x v="140"/>
    <x v="139"/>
    <n v="49.869013180750201"/>
    <s v="—"/>
    <s v="—"/>
    <s v="—"/>
    <n v="5.2362911689845699E-2"/>
    <s v="4¹"/>
    <s v="7.1¹"/>
    <s v="4.5¹"/>
    <n v="89.191951827606005"/>
    <n v="11.407736152868001"/>
    <s v="—"/>
    <n v="0.13938498103562799"/>
    <s v="—"/>
    <s v="—"/>
    <x v="40"/>
  </r>
  <r>
    <x v="3"/>
    <x v="24"/>
    <n v="489.84509768726298"/>
    <x v="141"/>
    <x v="140"/>
    <n v="49.0895736705424"/>
    <s v="—"/>
    <s v="—"/>
    <s v="—"/>
    <n v="-0.38558571850031298"/>
    <s v="4¹"/>
    <s v="3.1¹"/>
    <s v="3.7¹"/>
    <n v="239.94239027985199"/>
    <n v="9.0465315596483897"/>
    <s v="—"/>
    <n v="0.203606838598476"/>
    <s v="—"/>
    <s v="—"/>
    <x v="25"/>
  </r>
  <r>
    <x v="3"/>
    <x v="25"/>
    <n v="413.28146659884698"/>
    <x v="142"/>
    <x v="141"/>
    <n v="39.675571312453201"/>
    <s v="—"/>
    <s v="—"/>
    <s v="—"/>
    <n v="0.57321857363358397"/>
    <s v="4¹"/>
    <s v="4.3¹"/>
    <s v="4.2¹"/>
    <n v="329.21983981288599"/>
    <n v="30.585932317178202"/>
    <s v="—"/>
    <n v="0.101725102800259"/>
    <s v="—"/>
    <s v="—"/>
    <x v="81"/>
  </r>
  <r>
    <x v="3"/>
    <x v="26"/>
    <n v="522.97175817661798"/>
    <x v="143"/>
    <x v="142"/>
    <n v="56.2777351039162"/>
    <s v="—"/>
    <s v="—"/>
    <s v="—"/>
    <n v="-0.44646746221545502"/>
    <s v="3¹"/>
    <s v="3.1¹"/>
    <s v="3.2¹"/>
    <n v="220.619889857196"/>
    <n v="16.761280735582002"/>
    <s v="—"/>
    <n v="-3.16136489167178E-2"/>
    <s v="—"/>
    <s v="—"/>
    <x v="45"/>
  </r>
  <r>
    <x v="3"/>
    <x v="27"/>
    <n v="499.74990288193197"/>
    <x v="144"/>
    <x v="143"/>
    <n v="55.021772982723903"/>
    <s v="—"/>
    <s v="—"/>
    <s v="—"/>
    <n v="0.164981387201245"/>
    <s v="4¹"/>
    <s v="4.4¹"/>
    <s v="4.4¹"/>
    <n v="237.31550681921601"/>
    <n v="15.157994864619999"/>
    <s v="—"/>
    <n v="-0.140335855457946"/>
    <s v="—"/>
    <s v="—"/>
    <x v="1"/>
  </r>
  <r>
    <x v="3"/>
    <x v="28"/>
    <n v="489.37307036806402"/>
    <x v="145"/>
    <x v="144"/>
    <n v="58.900983686322299"/>
    <s v="—"/>
    <s v="—"/>
    <s v="—"/>
    <n v="-3.4542856601177202E-2"/>
    <s v="4¹"/>
    <s v="2.8¹"/>
    <s v="4.3¹"/>
    <n v="96.651284870840399"/>
    <n v="10.4395235934285"/>
    <s v="—"/>
    <n v="8.3855020506085398E-2"/>
    <s v="—"/>
    <s v="—"/>
    <x v="82"/>
  </r>
  <r>
    <x v="3"/>
    <x v="29"/>
    <n v="517.50109673868099"/>
    <x v="146"/>
    <x v="145"/>
    <n v="45.071987351801297"/>
    <s v="—"/>
    <s v="—"/>
    <s v="—"/>
    <n v="-0.25900525274319502"/>
    <s v="4¹"/>
    <s v="3.8¹"/>
    <s v="4.9¹"/>
    <n v="95.995603482187306"/>
    <n v="9.4278985610787505"/>
    <s v="—"/>
    <n v="-0.32227283082501601"/>
    <s v="—"/>
    <s v="—"/>
    <x v="83"/>
  </r>
  <r>
    <x v="3"/>
    <x v="30"/>
    <n v="487.06318111920802"/>
    <x v="147"/>
    <x v="146"/>
    <n v="42.642108560750998"/>
    <s v="—"/>
    <s v="—"/>
    <s v="—"/>
    <n v="0.43528975503435902"/>
    <s v="4¹"/>
    <s v="‡"/>
    <s v="3¹"/>
    <n v="181.06307887934099"/>
    <n v="8.8517171306857794"/>
    <s v="—"/>
    <n v="3.1023640054993799E-2"/>
    <s v="—"/>
    <s v="—"/>
    <x v="60"/>
  </r>
  <r>
    <x v="3"/>
    <x v="31"/>
    <n v="481.64474389864199"/>
    <x v="148"/>
    <x v="147"/>
    <n v="43.046288778947101"/>
    <s v="—"/>
    <s v="—"/>
    <s v="—"/>
    <n v="-0.152591130914147"/>
    <s v="4¹"/>
    <s v="3.6¹"/>
    <s v="4¹"/>
    <n v="86.469163541157201"/>
    <n v="13.2960690600597"/>
    <s v="—"/>
    <n v="-0.31356754878320398"/>
    <s v="—"/>
    <s v="—"/>
    <x v="0"/>
  </r>
  <r>
    <x v="3"/>
    <x v="32"/>
    <n v="501.127422505933"/>
    <x v="149"/>
    <x v="148"/>
    <n v="51.170587324215802"/>
    <s v="—"/>
    <s v="—"/>
    <s v="—"/>
    <n v="-0.36592088548610702"/>
    <s v="4¹"/>
    <s v="4.1¹"/>
    <s v="3.8¹"/>
    <n v="124.403686280499"/>
    <n v="10.535218555222301"/>
    <s v="—"/>
    <n v="-6.8536417900004502E-3"/>
    <s v="—"/>
    <s v="—"/>
    <x v="84"/>
  </r>
  <r>
    <x v="3"/>
    <x v="33"/>
    <n v="484.31929783037498"/>
    <x v="150"/>
    <x v="149"/>
    <n v="46.946895168898799"/>
    <s v="—"/>
    <s v="—"/>
    <s v="—"/>
    <n v="0.116843380309337"/>
    <s v="4¹"/>
    <s v="3.2¹"/>
    <s v="3.7¹"/>
    <n v="74.676656694494596"/>
    <n v="12.5366011258124"/>
    <s v="—"/>
    <n v="0.409184776063306"/>
    <s v="—"/>
    <s v="—"/>
    <x v="42"/>
  </r>
  <r>
    <x v="3"/>
    <x v="34"/>
    <n v="478.26063585232401"/>
    <x v="151"/>
    <x v="150"/>
    <n v="54.561153208555901"/>
    <s v="—"/>
    <s v="—"/>
    <s v="—"/>
    <n v="0.22771976180624301"/>
    <s v="3¹"/>
    <s v="3¹"/>
    <s v="3¹"/>
    <n v="102.15445184483799"/>
    <n v="12.4590127930429"/>
    <s v="—"/>
    <n v="-4.2454589560297698E-2"/>
    <s v="—"/>
    <s v="—"/>
    <x v="45"/>
  </r>
  <r>
    <x v="3"/>
    <x v="35"/>
    <n v="530.93100385615105"/>
    <x v="152"/>
    <x v="151"/>
    <n v="55.013893329068097"/>
    <s v="—"/>
    <s v="—"/>
    <s v="—"/>
    <n v="-7.2028123081787396E-2"/>
    <s v="4¹"/>
    <s v="3.3¹"/>
    <s v="4.4¹"/>
    <n v="148.61463077575701"/>
    <n v="12.0700917238619"/>
    <s v="—"/>
    <n v="0.426567015276545"/>
    <s v="—"/>
    <s v="—"/>
    <x v="21"/>
  </r>
  <r>
    <x v="3"/>
    <x v="36"/>
    <n v="447.984415052099"/>
    <x v="153"/>
    <x v="152"/>
    <n v="35.035973192682498"/>
    <s v="—"/>
    <s v="—"/>
    <s v="—"/>
    <n v="0.17636484871970401"/>
    <s v="4¹"/>
    <s v="3.6¹"/>
    <s v="4.6¹"/>
    <n v="298.47943372928199"/>
    <n v="17.443498053575301"/>
    <s v="—"/>
    <n v="0.124074461076919"/>
    <s v="—"/>
    <s v="—"/>
    <x v="85"/>
  </r>
  <r>
    <x v="3"/>
    <x v="37"/>
    <n v="493.93423096795601"/>
    <x v="154"/>
    <x v="153"/>
    <n v="55.592350627108402"/>
    <s v="—"/>
    <s v="—"/>
    <s v="—"/>
    <n v="0.33798463882254198"/>
    <s v="4¹"/>
    <s v="5.1¹"/>
    <s v="4¹"/>
    <n v="352.57548834343498"/>
    <n v="14.792579336353301"/>
    <s v="—"/>
    <n v="-2.4623875876328801E-2"/>
    <s v="—"/>
    <s v="—"/>
    <x v="51"/>
  </r>
  <r>
    <x v="3"/>
    <x v="38"/>
    <n v="481.36678631030099"/>
    <x v="155"/>
    <x v="154"/>
    <n v="54.322129215521898"/>
    <s v="—"/>
    <s v="—"/>
    <s v="—"/>
    <n v="0.178596092119189"/>
    <s v="4¹"/>
    <s v="4.1¹"/>
    <s v="4.1¹"/>
    <n v="361.190367060386"/>
    <n v="17.421681967820799"/>
    <s v="—"/>
    <n v="-4.5157451743616898E-2"/>
    <s v="—"/>
    <s v="—"/>
    <x v="86"/>
  </r>
  <r>
    <x v="4"/>
    <x v="0"/>
    <n v="491.71857986315302"/>
    <x v="156"/>
    <x v="155"/>
    <n v="49.010175894067601"/>
    <s v="—"/>
    <s v="—"/>
    <n v="3.6285070466197403E-2"/>
    <s v="—"/>
    <n v="4.1559412597864096"/>
    <n v="3.9541751773090099"/>
    <n v="4.2031086845769101"/>
    <n v="162.690851253148"/>
    <n v="13.9335449797536"/>
    <s v="—"/>
    <s v="—"/>
    <s v="—"/>
    <s v="—"/>
    <x v="0"/>
  </r>
  <r>
    <x v="4"/>
    <x v="1"/>
    <n v="514.34046249331504"/>
    <x v="157"/>
    <x v="156"/>
    <n v="53.239646700833802"/>
    <s v="—"/>
    <s v="—"/>
    <s v="—"/>
    <s v="—"/>
    <n v="4.4439752050935803"/>
    <n v="3.85492218849555"/>
    <n v="4.4099135448351596"/>
    <n v="169.82301451882699"/>
    <n v="13.435408683744599"/>
    <s v="—"/>
    <s v="—"/>
    <s v="—"/>
    <s v="—"/>
    <x v="1"/>
  </r>
  <r>
    <x v="4"/>
    <x v="2"/>
    <n v="495.90865525192498"/>
    <x v="158"/>
    <x v="157"/>
    <n v="48.361829126594301"/>
    <s v="—"/>
    <s v="—"/>
    <s v="—"/>
    <s v="—"/>
    <n v="3.1120697797752799"/>
    <n v="3.8950672510017501"/>
    <n v="2.8202629268407802"/>
    <n v="127.86392293777099"/>
    <n v="11.1659008438056"/>
    <s v="—"/>
    <s v="—"/>
    <s v="—"/>
    <s v="—"/>
    <x v="87"/>
  </r>
  <r>
    <x v="4"/>
    <x v="3"/>
    <n v="515.27227692113399"/>
    <x v="159"/>
    <x v="158"/>
    <n v="50.1078736464071"/>
    <s v="—"/>
    <s v="—"/>
    <s v="—"/>
    <s v="—"/>
    <n v="4.0824549091609903"/>
    <n v="3.4897661944245901"/>
    <n v="4.2295100422507499"/>
    <n v="125.770110466443"/>
    <n v="9.1876181818118692"/>
    <s v="—"/>
    <s v="—"/>
    <s v="—"/>
    <s v="—"/>
    <x v="88"/>
  </r>
  <r>
    <x v="4"/>
    <x v="4"/>
    <n v="526.80515277156996"/>
    <x v="160"/>
    <x v="159"/>
    <n v="53.258530498795302"/>
    <s v="—"/>
    <s v="—"/>
    <s v="—"/>
    <s v="—"/>
    <n v="4.48816661385366"/>
    <n v="4.3833519422876996"/>
    <n v="4.5533547989911201"/>
    <n v="253.82175504720701"/>
    <n v="15.7145050520302"/>
    <s v="—"/>
    <s v="—"/>
    <s v="—"/>
    <s v="—"/>
    <x v="89"/>
  </r>
  <r>
    <x v="4"/>
    <x v="5"/>
    <n v="421.06047317521302"/>
    <x v="161"/>
    <x v="160"/>
    <n v="43.053094078171497"/>
    <s v="—"/>
    <s v="—"/>
    <n v="5.0575925340312501E-2"/>
    <s v="—"/>
    <n v="5.4078791198830203"/>
    <n v="5.0610223931129896"/>
    <n v="5.3032212618623804"/>
    <n v="185.46742014546399"/>
    <s v="25¹"/>
    <s v="—"/>
    <s v="—"/>
    <s v="—"/>
    <s v="—"/>
    <x v="90"/>
  </r>
  <r>
    <x v="4"/>
    <x v="6"/>
    <n v="380.84821487918498"/>
    <x v="162"/>
    <x v="161"/>
    <n v="41.567633607920797"/>
    <s v="—"/>
    <s v="—"/>
    <s v="—"/>
    <s v="—"/>
    <n v="3.8601648346903499"/>
    <n v="3.31436953337032"/>
    <n v="3.6233403443358898"/>
    <n v="129.00058759225701"/>
    <n v="27.671474206768099"/>
    <s v="—"/>
    <s v="—"/>
    <s v="—"/>
    <s v="—"/>
    <x v="0"/>
  </r>
  <r>
    <x v="4"/>
    <x v="7"/>
    <s v="—"/>
    <x v="24"/>
    <x v="24"/>
    <s v="—"/>
    <s v="—"/>
    <s v="—"/>
    <s v="—"/>
    <s v="—"/>
    <s v="—"/>
    <s v="—"/>
    <s v="—"/>
    <s v="—"/>
    <s v="—"/>
    <s v="—"/>
    <s v="—"/>
    <s v="—"/>
    <s v="—"/>
    <x v="0"/>
  </r>
  <r>
    <x v="4"/>
    <x v="8"/>
    <n v="492.81409408037098"/>
    <x v="163"/>
    <x v="162"/>
    <n v="48.091353992619702"/>
    <s v="—"/>
    <s v="—"/>
    <s v="—"/>
    <s v="—"/>
    <n v="4.1518381139046197"/>
    <n v="5.2698763659502603"/>
    <n v="4.0241770692409498"/>
    <n v="89.663989932446398"/>
    <n v="13.236252393986801"/>
    <s v="—"/>
    <s v="—"/>
    <s v="—"/>
    <s v="—"/>
    <x v="91"/>
  </r>
  <r>
    <x v="4"/>
    <x v="9"/>
    <n v="503.27814736227799"/>
    <x v="164"/>
    <x v="163"/>
    <n v="50.9340685017401"/>
    <s v="—"/>
    <s v="—"/>
    <s v="0.22¹"/>
    <s v="—"/>
    <n v="4.3741346488728396"/>
    <n v="3.4662604766552798"/>
    <n v="6.31093299207327"/>
    <n v="51.503437217459798"/>
    <n v="11.8825716718506"/>
    <s v="—"/>
    <s v="—"/>
    <s v="—"/>
    <s v="—"/>
    <x v="92"/>
  </r>
  <r>
    <x v="4"/>
    <x v="10"/>
    <n v="512.10419739310601"/>
    <x v="165"/>
    <x v="164"/>
    <n v="50.155986618533902"/>
    <s v="—"/>
    <s v="—"/>
    <s v="—"/>
    <s v="—"/>
    <n v="5.01743690098104"/>
    <n v="4.2958175334400801"/>
    <n v="4.4861466950567896"/>
    <n v="55.074531258425999"/>
    <n v="11.8915358605969"/>
    <s v="—"/>
    <s v="—"/>
    <s v="—"/>
    <s v="—"/>
    <x v="93"/>
  </r>
  <r>
    <x v="4"/>
    <x v="11"/>
    <n v="540.50434817230098"/>
    <x v="166"/>
    <x v="165"/>
    <n v="53.068509892031301"/>
    <s v="—"/>
    <s v="—"/>
    <s v="—"/>
    <s v="—"/>
    <n v="3.6711453384946799"/>
    <n v="4.1383008017296303"/>
    <n v="3.2131382872110499"/>
    <n v="120.719275628484"/>
    <n v="11.2156851274383"/>
    <s v="—"/>
    <s v="—"/>
    <s v="—"/>
    <s v="—"/>
    <x v="68"/>
  </r>
  <r>
    <x v="4"/>
    <x v="12"/>
    <n v="496.78231031620697"/>
    <x v="167"/>
    <x v="166"/>
    <n v="46.906422540030199"/>
    <s v="—"/>
    <s v="—"/>
    <s v="—"/>
    <s v="—"/>
    <n v="3.8072446372687998"/>
    <n v="3.3947076143257"/>
    <n v="4.15002354699131"/>
    <s v="—"/>
    <s v="—"/>
    <s v="—"/>
    <s v="—"/>
    <s v="—"/>
    <s v="—"/>
    <x v="57"/>
  </r>
  <r>
    <x v="4"/>
    <x v="13"/>
    <n v="512.77764253751502"/>
    <x v="168"/>
    <x v="167"/>
    <n v="48.912976373664698"/>
    <s v="—"/>
    <s v="—"/>
    <s v="-0.04¹"/>
    <s v="—"/>
    <n v="3.9899577512783599"/>
    <s v="5¹"/>
    <n v="3.8929729093475198"/>
    <n v="93.995361787349907"/>
    <n v="15.9100727332478"/>
    <s v="—"/>
    <s v="—"/>
    <s v="—"/>
    <s v="—"/>
    <x v="54"/>
  </r>
  <r>
    <x v="4"/>
    <x v="14"/>
    <n v="466.096372661163"/>
    <x v="169"/>
    <x v="168"/>
    <n v="48.748088471157097"/>
    <s v="—"/>
    <s v="—"/>
    <s v="—"/>
    <s v="—"/>
    <n v="4.3630275517252901"/>
    <n v="4.7632736485417402"/>
    <n v="4.3423346352165604"/>
    <n v="96.607717290638902"/>
    <n v="8.2777522924997804"/>
    <s v="—"/>
    <s v="—"/>
    <s v="—"/>
    <s v="—"/>
    <x v="20"/>
  </r>
  <r>
    <x v="4"/>
    <x v="15"/>
    <n v="490.17002750372802"/>
    <x v="170"/>
    <x v="169"/>
    <n v="47.634867501339698"/>
    <s v="—"/>
    <s v="—"/>
    <n v="0.24543635010713"/>
    <s v="—"/>
    <n v="3.4560973945231601"/>
    <n v="3.4553179898765598"/>
    <n v="3.7704067957923302"/>
    <n v="125.456393816332"/>
    <n v="12.0864248208602"/>
    <s v="—"/>
    <s v="—"/>
    <s v="—"/>
    <s v="—"/>
    <x v="94"/>
  </r>
  <r>
    <x v="4"/>
    <x v="16"/>
    <n v="506.66916368762202"/>
    <x v="171"/>
    <x v="170"/>
    <n v="55.946338368557797"/>
    <s v="—"/>
    <s v="—"/>
    <s v="—"/>
    <s v="—"/>
    <n v="5.4722035162205396"/>
    <n v="3.2740788298628201"/>
    <n v="5.3481554203499"/>
    <n v="63.453757217313999"/>
    <s v="10¹"/>
    <s v="—"/>
    <s v="—"/>
    <s v="—"/>
    <s v="—"/>
    <x v="95"/>
  </r>
  <r>
    <x v="4"/>
    <x v="17"/>
    <n v="487.13637513593898"/>
    <x v="172"/>
    <x v="171"/>
    <n v="49.920109841849701"/>
    <s v="—"/>
    <s v="—"/>
    <s v="—"/>
    <s v="—"/>
    <n v="4.71359543110038"/>
    <n v="3.37900688791634"/>
    <n v="4.5615864644258703"/>
    <s v="103¹"/>
    <s v="14¹"/>
    <s v="—"/>
    <s v="—"/>
    <s v="—"/>
    <s v="—"/>
    <x v="57"/>
  </r>
  <r>
    <x v="4"/>
    <x v="18"/>
    <n v="446.863763939656"/>
    <x v="173"/>
    <x v="172"/>
    <n v="53.088066273728799"/>
    <s v="—"/>
    <s v="—"/>
    <s v="—"/>
    <s v="—"/>
    <n v="4.8236884922717396"/>
    <s v="3.9¹"/>
    <n v="4.1934393935893901"/>
    <n v="174.90276410029099"/>
    <s v="12¹"/>
    <s v="—"/>
    <s v="—"/>
    <s v="—"/>
    <s v="—"/>
    <x v="96"/>
  </r>
  <r>
    <x v="4"/>
    <x v="19"/>
    <n v="482.90848039534802"/>
    <x v="174"/>
    <x v="173"/>
    <n v="46.864525852412903"/>
    <s v="—"/>
    <s v="—"/>
    <n v="0.192583553164829"/>
    <s v="—"/>
    <n v="4.2692620307146498"/>
    <n v="3.0106456040254401"/>
    <n v="5.3162085389896303"/>
    <n v="157.66329808873101"/>
    <n v="9.3458023130464092"/>
    <s v="—"/>
    <s v="—"/>
    <s v="—"/>
    <s v="—"/>
    <x v="22"/>
  </r>
  <r>
    <x v="4"/>
    <x v="20"/>
    <n v="528.99309287515302"/>
    <x v="175"/>
    <x v="174"/>
    <n v="51.488392887195303"/>
    <s v="—"/>
    <s v="—"/>
    <s v="—"/>
    <s v="—"/>
    <n v="4.6598523713795901"/>
    <n v="2.9259464700070699"/>
    <n v="4.2088056246778196"/>
    <n v="250.77634910970301"/>
    <n v="12.2283345008233"/>
    <s v="—"/>
    <s v="—"/>
    <s v="—"/>
    <s v="—"/>
    <x v="83"/>
  </r>
  <r>
    <x v="4"/>
    <x v="21"/>
    <n v="546.22853420975298"/>
    <x v="176"/>
    <x v="175"/>
    <n v="50.089114596013303"/>
    <s v="—"/>
    <s v="—"/>
    <n v="-0.91613067232784196"/>
    <s v="—"/>
    <n v="4.3641822214239996"/>
    <n v="3.61018452348819"/>
    <n v="4.2568554911456102"/>
    <n v="393.60515696873301"/>
    <n v="17.211795003131002"/>
    <s v="—"/>
    <s v="—"/>
    <s v="—"/>
    <s v="—"/>
    <x v="0"/>
  </r>
  <r>
    <x v="4"/>
    <x v="22"/>
    <n v="481.95382212126498"/>
    <x v="177"/>
    <x v="176"/>
    <n v="47.431071068602101"/>
    <s v="—"/>
    <s v="—"/>
    <s v="—"/>
    <s v="—"/>
    <n v="5.4853490906507796"/>
    <n v="6.5554936600412903"/>
    <n v="4.07740350141595"/>
    <n v="53.269450353418101"/>
    <n v="9.6069679055235202"/>
    <s v="—"/>
    <s v="—"/>
    <s v="—"/>
    <s v="—"/>
    <x v="97"/>
  </r>
  <r>
    <x v="4"/>
    <x v="23"/>
    <n v="476.60230306438098"/>
    <x v="178"/>
    <x v="177"/>
    <n v="49.534208425806398"/>
    <s v="—"/>
    <s v="—"/>
    <n v="0.14257958180973801"/>
    <s v="—"/>
    <n v="3.83914470742137"/>
    <n v="4.5089390247215002"/>
    <n v="4.4519423133405196"/>
    <n v="92.024317433400697"/>
    <n v="10.9473131027629"/>
    <s v="—"/>
    <s v="—"/>
    <s v="—"/>
    <s v="—"/>
    <x v="98"/>
  </r>
  <r>
    <x v="4"/>
    <x v="24"/>
    <n v="489.06726328990601"/>
    <x v="179"/>
    <x v="178"/>
    <n v="48.072678795105702"/>
    <s v="—"/>
    <s v="—"/>
    <s v="—"/>
    <s v="—"/>
    <n v="3.9941077045879401"/>
    <n v="3.2798903360870999"/>
    <n v="3.8027696973060698"/>
    <n v="237.026028362304"/>
    <n v="9.4680267545530903"/>
    <s v="—"/>
    <s v="—"/>
    <s v="—"/>
    <s v="—"/>
    <x v="9"/>
  </r>
  <r>
    <x v="4"/>
    <x v="25"/>
    <n v="418.50909456834398"/>
    <x v="180"/>
    <x v="179"/>
    <n v="41.250733371016601"/>
    <s v="—"/>
    <s v="—"/>
    <s v="—"/>
    <s v="—"/>
    <n v="4.4833823068663197"/>
    <n v="4.4172956449901504"/>
    <n v="4.2302885623907898"/>
    <n v="320.94404468842299"/>
    <s v="30¹"/>
    <s v="—"/>
    <s v="—"/>
    <s v="—"/>
    <s v="—"/>
    <x v="1"/>
  </r>
  <r>
    <x v="4"/>
    <x v="26"/>
    <n v="525.83568837595999"/>
    <x v="181"/>
    <x v="180"/>
    <n v="51.486616331714302"/>
    <s v="—"/>
    <s v="—"/>
    <s v="—"/>
    <s v="—"/>
    <n v="3.3088340973837602"/>
    <s v="4.3¹"/>
    <n v="3.23186173673855"/>
    <n v="214.56408068257201"/>
    <n v="15.634034711257801"/>
    <s v="—"/>
    <s v="—"/>
    <s v="—"/>
    <s v="—"/>
    <x v="8"/>
  </r>
  <r>
    <x v="4"/>
    <x v="27"/>
    <n v="519.300872255267"/>
    <x v="182"/>
    <x v="181"/>
    <n v="52.155507233835301"/>
    <s v="—"/>
    <s v="—"/>
    <s v="0.23¹"/>
    <s v="—"/>
    <n v="4.3583508367502599"/>
    <n v="4.3467975078342"/>
    <n v="4.3891000651352696"/>
    <n v="254.92832840852699"/>
    <n v="14.8668310573195"/>
    <s v="—"/>
    <s v="—"/>
    <s v="—"/>
    <s v="—"/>
    <x v="1"/>
  </r>
  <r>
    <x v="4"/>
    <x v="28"/>
    <n v="497.95569298293299"/>
    <x v="183"/>
    <x v="182"/>
    <n v="55.397043749832399"/>
    <s v="—"/>
    <s v="—"/>
    <s v="—"/>
    <s v="—"/>
    <n v="3.0000000015689299"/>
    <n v="2.0000000000000102"/>
    <n v="4"/>
    <n v="95.2954079930646"/>
    <n v="10.499933529942799"/>
    <s v="—"/>
    <s v="—"/>
    <s v="—"/>
    <s v="—"/>
    <x v="91"/>
  </r>
  <r>
    <x v="4"/>
    <x v="29"/>
    <n v="494.80291833184299"/>
    <x v="184"/>
    <x v="183"/>
    <n v="44.650969454736199"/>
    <s v="—"/>
    <s v="—"/>
    <s v="—"/>
    <s v="—"/>
    <n v="4.5370394610158202"/>
    <n v="4.1789910809947299"/>
    <n v="5.0889956482551204"/>
    <n v="112.867800293808"/>
    <n v="10.629329061838"/>
    <s v="—"/>
    <s v="—"/>
    <s v="—"/>
    <s v="—"/>
    <x v="10"/>
  </r>
  <r>
    <x v="4"/>
    <x v="30"/>
    <n v="486.88830591175702"/>
    <x v="185"/>
    <x v="184"/>
    <n v="44.145032305277901"/>
    <s v="—"/>
    <s v="—"/>
    <s v="0.2¹"/>
    <s v="—"/>
    <n v="2.8648146824474399"/>
    <s v="2.5¹"/>
    <n v="2.37308618614591"/>
    <n v="188.725868482984"/>
    <n v="8.5352700526531091"/>
    <s v="—"/>
    <s v="—"/>
    <s v="—"/>
    <s v="—"/>
    <x v="99"/>
  </r>
  <r>
    <x v="4"/>
    <x v="31"/>
    <n v="496.68342000140598"/>
    <x v="186"/>
    <x v="185"/>
    <n v="45.676710300204"/>
    <s v="—"/>
    <s v="—"/>
    <s v="—"/>
    <s v="—"/>
    <n v="3.7655155698190699"/>
    <n v="4.7953252466835199"/>
    <n v="3.91739817546582"/>
    <n v="104.734266502886"/>
    <n v="14.1178021877703"/>
    <s v="—"/>
    <s v="—"/>
    <s v="—"/>
    <s v="—"/>
    <x v="0"/>
  </r>
  <r>
    <x v="4"/>
    <x v="32"/>
    <n v="501.47238933381902"/>
    <x v="187"/>
    <x v="186"/>
    <n v="50.336061235661901"/>
    <s v="—"/>
    <s v="—"/>
    <s v="—"/>
    <s v="—"/>
    <n v="3.6283876308236902"/>
    <n v="4.4448066041813901"/>
    <n v="3.9021993588509298"/>
    <n v="117.89004759917999"/>
    <n v="19.6258682200918"/>
    <s v="—"/>
    <s v="—"/>
    <s v="—"/>
    <s v="—"/>
    <x v="100"/>
  </r>
  <r>
    <x v="4"/>
    <x v="33"/>
    <n v="483.493140177442"/>
    <x v="188"/>
    <x v="187"/>
    <n v="45.854583393546001"/>
    <s v="—"/>
    <s v="—"/>
    <s v="—"/>
    <s v="—"/>
    <n v="3.79340385647984"/>
    <n v="3.8577188785777401"/>
    <n v="3.6918766799006502"/>
    <n v="76.388225923363706"/>
    <n v="11.867036245994701"/>
    <s v="—"/>
    <s v="—"/>
    <s v="—"/>
    <s v="—"/>
    <x v="99"/>
  </r>
  <r>
    <x v="4"/>
    <x v="34"/>
    <n v="494.23817517800398"/>
    <x v="189"/>
    <x v="188"/>
    <n v="52.2451110295899"/>
    <s v="—"/>
    <s v="—"/>
    <s v="—"/>
    <s v="—"/>
    <n v="3.16783938344946"/>
    <n v="3.0277241742646401"/>
    <n v="3.0185686614946801"/>
    <n v="118.325053160903"/>
    <s v="12¹"/>
    <s v="—"/>
    <s v="—"/>
    <s v="—"/>
    <s v="—"/>
    <x v="32"/>
  </r>
  <r>
    <x v="4"/>
    <x v="35"/>
    <n v="533.96064475178503"/>
    <x v="190"/>
    <x v="189"/>
    <n v="50.598001276725903"/>
    <s v="—"/>
    <s v="—"/>
    <s v="—"/>
    <s v="—"/>
    <n v="4.5028099833284099"/>
    <n v="3.8905054460285999"/>
    <n v="4.4025839199349797"/>
    <n v="137.37376427465901"/>
    <n v="13.2265185974936"/>
    <s v="—"/>
    <s v="—"/>
    <s v="—"/>
    <s v="—"/>
    <x v="35"/>
  </r>
  <r>
    <x v="4"/>
    <x v="36"/>
    <n v="445.45134005882301"/>
    <x v="191"/>
    <x v="190"/>
    <n v="41.256196879418802"/>
    <s v="—"/>
    <s v="—"/>
    <s v="—"/>
    <s v="—"/>
    <n v="4.3193752503195499"/>
    <n v="3.0477317959018602"/>
    <n v="5.5989494003309401"/>
    <n v="238.43085961527501"/>
    <n v="18.567137897091701"/>
    <s v="—"/>
    <s v="—"/>
    <s v="—"/>
    <s v="—"/>
    <x v="101"/>
  </r>
  <r>
    <x v="4"/>
    <x v="37"/>
    <n v="492.41407826490803"/>
    <x v="192"/>
    <x v="191"/>
    <n v="49.823184956683797"/>
    <s v="—"/>
    <s v="—"/>
    <s v="—"/>
    <s v="—"/>
    <n v="3.83791975771581"/>
    <n v="4.9858433650391802"/>
    <n v="3.9580633007497901"/>
    <n v="363.00265809101199"/>
    <n v="14.5121693504175"/>
    <s v="—"/>
    <s v="—"/>
    <s v="—"/>
    <s v="—"/>
    <x v="40"/>
  </r>
  <r>
    <x v="4"/>
    <x v="38"/>
    <n v="487.39652050631798"/>
    <x v="193"/>
    <x v="192"/>
    <n v="52.025368903145399"/>
    <s v="—"/>
    <s v="—"/>
    <s v="—"/>
    <s v="—"/>
    <n v="4.3551754288521796"/>
    <n v="4.2963802825666804"/>
    <n v="4.3651473386656203"/>
    <n v="363.11617334498902"/>
    <n v="16.053370303397401"/>
    <s v="—"/>
    <s v="—"/>
    <s v="—"/>
    <s v="—"/>
    <x v="102"/>
  </r>
  <r>
    <x v="5"/>
    <x v="0"/>
    <n v="490.407608360231"/>
    <x v="194"/>
    <x v="193"/>
    <n v="48.534012497418999"/>
    <s v="—"/>
    <s v="—"/>
    <s v="—"/>
    <s v="—"/>
    <s v="—"/>
    <s v="—"/>
    <s v="—"/>
    <s v="—"/>
    <n v="13.972114826516"/>
    <s v="—"/>
    <s v="—"/>
    <s v="—"/>
    <s v="—"/>
    <x v="0"/>
  </r>
  <r>
    <x v="5"/>
    <x v="1"/>
    <n v="519.90774855186703"/>
    <x v="195"/>
    <x v="194"/>
    <n v="53.018056351768699"/>
    <s v="—"/>
    <s v="—"/>
    <s v="—"/>
    <s v="—"/>
    <s v="—"/>
    <s v="—"/>
    <s v="—"/>
    <s v="—"/>
    <n v="13.411164307506199"/>
    <s v="—"/>
    <s v="—"/>
    <s v="—"/>
    <s v="—"/>
    <x v="1"/>
  </r>
  <r>
    <x v="5"/>
    <x v="2"/>
    <n v="505.48359847748702"/>
    <x v="196"/>
    <x v="195"/>
    <n v="48.308602327102903"/>
    <s v="—"/>
    <s v="—"/>
    <s v="—"/>
    <s v="—"/>
    <s v="—"/>
    <s v="—"/>
    <s v="—"/>
    <s v="—"/>
    <n v="11.346079232519999"/>
    <s v="—"/>
    <s v="—"/>
    <s v="—"/>
    <s v="—"/>
    <x v="103"/>
  </r>
  <r>
    <x v="5"/>
    <x v="3"/>
    <n v="520.34897289600201"/>
    <x v="197"/>
    <x v="196"/>
    <n v="49.834235490218902"/>
    <s v="—"/>
    <s v="—"/>
    <s v="—"/>
    <s v="—"/>
    <s v="—"/>
    <s v="—"/>
    <s v="—"/>
    <s v="—"/>
    <n v="9.1362600277881505"/>
    <s v="—"/>
    <s v="—"/>
    <s v="—"/>
    <s v="—"/>
    <x v="44"/>
  </r>
  <r>
    <x v="5"/>
    <x v="4"/>
    <n v="527.00717882471997"/>
    <x v="198"/>
    <x v="197"/>
    <n v="53.533891680144002"/>
    <s v="—"/>
    <s v="—"/>
    <s v="—"/>
    <s v="—"/>
    <s v="—"/>
    <s v="—"/>
    <s v="—"/>
    <s v="—"/>
    <s v="17¹"/>
    <s v="—"/>
    <s v="—"/>
    <s v="—"/>
    <s v="—"/>
    <x v="14"/>
  </r>
  <r>
    <x v="5"/>
    <x v="5"/>
    <n v="411.350338565367"/>
    <x v="199"/>
    <x v="198"/>
    <n v="40.618960500520998"/>
    <s v="—"/>
    <s v="—"/>
    <s v="—"/>
    <s v="—"/>
    <s v="—"/>
    <s v="—"/>
    <s v="—"/>
    <s v="—"/>
    <s v="25¹"/>
    <s v="—"/>
    <s v="—"/>
    <s v="—"/>
    <s v="—"/>
    <x v="104"/>
  </r>
  <r>
    <x v="5"/>
    <x v="6"/>
    <n v="369.97851351992603"/>
    <x v="200"/>
    <x v="199"/>
    <n v="42.265660241211599"/>
    <s v="—"/>
    <s v="—"/>
    <s v="—"/>
    <s v="—"/>
    <s v="—"/>
    <s v="—"/>
    <s v="—"/>
    <s v="—"/>
    <n v="23.889632881141399"/>
    <s v="—"/>
    <s v="—"/>
    <s v="—"/>
    <s v="—"/>
    <x v="0"/>
  </r>
  <r>
    <x v="5"/>
    <x v="7"/>
    <s v="—"/>
    <x v="24"/>
    <x v="24"/>
    <s v="—"/>
    <s v="—"/>
    <s v="—"/>
    <s v="—"/>
    <s v="—"/>
    <s v="—"/>
    <s v="—"/>
    <s v="—"/>
    <s v="—"/>
    <s v="—"/>
    <s v="—"/>
    <s v="—"/>
    <s v="—"/>
    <s v="—"/>
    <x v="0"/>
  </r>
  <r>
    <x v="5"/>
    <x v="8"/>
    <n v="509.85935894455298"/>
    <x v="201"/>
    <x v="200"/>
    <n v="48.242716402044202"/>
    <s v="—"/>
    <s v="—"/>
    <s v="—"/>
    <s v="—"/>
    <s v="—"/>
    <s v="—"/>
    <s v="—"/>
    <s v="—"/>
    <n v="13.5907879227337"/>
    <s v="—"/>
    <s v="—"/>
    <s v="—"/>
    <s v="—"/>
    <x v="92"/>
  </r>
  <r>
    <x v="5"/>
    <x v="9"/>
    <n v="513.02595019334603"/>
    <x v="202"/>
    <x v="201"/>
    <n v="49.419843281885598"/>
    <s v="—"/>
    <s v="—"/>
    <s v="—"/>
    <s v="—"/>
    <s v="—"/>
    <s v="—"/>
    <s v="—"/>
    <s v="—"/>
    <s v="12¹"/>
    <s v="—"/>
    <s v="—"/>
    <s v="—"/>
    <s v="—"/>
    <x v="5"/>
  </r>
  <r>
    <x v="5"/>
    <x v="10"/>
    <n v="514.57546170233195"/>
    <x v="203"/>
    <x v="202"/>
    <n v="50.310362646546302"/>
    <s v="—"/>
    <s v="—"/>
    <s v="—"/>
    <s v="—"/>
    <s v="—"/>
    <s v="—"/>
    <s v="—"/>
    <s v="—"/>
    <n v="15.2921967994314"/>
    <s v="—"/>
    <s v="—"/>
    <s v="—"/>
    <s v="—"/>
    <x v="12"/>
  </r>
  <r>
    <x v="5"/>
    <x v="11"/>
    <n v="548.35839512274902"/>
    <x v="204"/>
    <x v="203"/>
    <n v="48.805933647432298"/>
    <s v="—"/>
    <s v="—"/>
    <s v="—"/>
    <s v="—"/>
    <s v="—"/>
    <s v="—"/>
    <s v="—"/>
    <s v="—"/>
    <n v="11.326804207324001"/>
    <s v="—"/>
    <s v="—"/>
    <s v="—"/>
    <s v="—"/>
    <x v="105"/>
  </r>
  <r>
    <x v="5"/>
    <x v="12"/>
    <n v="495.53833286443597"/>
    <x v="205"/>
    <x v="204"/>
    <n v="48.637807592644002"/>
    <s v="—"/>
    <s v="—"/>
    <s v="—"/>
    <s v="—"/>
    <s v="—"/>
    <s v="—"/>
    <s v="—"/>
    <s v="—"/>
    <s v="—"/>
    <s v="—"/>
    <s v="—"/>
    <s v="—"/>
    <s v="—"/>
    <x v="106"/>
  </r>
  <r>
    <x v="5"/>
    <x v="13"/>
    <n v="503.79085830625098"/>
    <x v="206"/>
    <x v="205"/>
    <n v="49.0409778743564"/>
    <s v="—"/>
    <s v="—"/>
    <s v="—"/>
    <s v="—"/>
    <s v="—"/>
    <s v="—"/>
    <s v="—"/>
    <s v="—"/>
    <n v="17.2480836546492"/>
    <s v="—"/>
    <s v="—"/>
    <s v="—"/>
    <s v="—"/>
    <x v="107"/>
  </r>
  <r>
    <x v="5"/>
    <x v="14"/>
    <n v="459.20198671596899"/>
    <x v="207"/>
    <x v="206"/>
    <n v="48.271585630206197"/>
    <s v="—"/>
    <s v="—"/>
    <s v="—"/>
    <s v="—"/>
    <s v="—"/>
    <s v="—"/>
    <s v="—"/>
    <s v="—"/>
    <n v="8.9238940435672305"/>
    <s v="—"/>
    <s v="—"/>
    <s v="—"/>
    <s v="—"/>
    <x v="40"/>
  </r>
  <r>
    <x v="5"/>
    <x v="15"/>
    <n v="490.93738300313402"/>
    <x v="208"/>
    <x v="207"/>
    <n v="47.803841800985097"/>
    <s v="—"/>
    <s v="—"/>
    <s v="—"/>
    <s v="—"/>
    <s v="—"/>
    <s v="—"/>
    <s v="—"/>
    <s v="—"/>
    <n v="12.1254684133611"/>
    <s v="—"/>
    <s v="—"/>
    <s v="—"/>
    <s v="—"/>
    <x v="108"/>
  </r>
  <r>
    <x v="5"/>
    <x v="16"/>
    <n v="505.544828285265"/>
    <x v="209"/>
    <x v="208"/>
    <n v="53.934122293192097"/>
    <s v="—"/>
    <s v="—"/>
    <s v="—"/>
    <s v="—"/>
    <s v="—"/>
    <s v="—"/>
    <s v="—"/>
    <s v="—"/>
    <n v="10.8819576052618"/>
    <s v="—"/>
    <s v="—"/>
    <s v="—"/>
    <s v="—"/>
    <x v="46"/>
  </r>
  <r>
    <x v="5"/>
    <x v="17"/>
    <n v="501.47177111731099"/>
    <x v="210"/>
    <x v="209"/>
    <n v="48.982868181988202"/>
    <s v="—"/>
    <s v="—"/>
    <s v="—"/>
    <s v="—"/>
    <s v="—"/>
    <s v="—"/>
    <s v="—"/>
    <s v="—"/>
    <n v="13.322056640828899"/>
    <s v="—"/>
    <s v="—"/>
    <s v="—"/>
    <s v="—"/>
    <x v="57"/>
  </r>
  <r>
    <x v="5"/>
    <x v="18"/>
    <n v="441.85872775246099"/>
    <x v="211"/>
    <x v="210"/>
    <s v="53.4¹"/>
    <s v="—"/>
    <s v="—"/>
    <s v="—"/>
    <s v="—"/>
    <s v="—"/>
    <s v="—"/>
    <s v="—"/>
    <s v="—"/>
    <n v="12.6827598783988"/>
    <s v="—"/>
    <s v="—"/>
    <s v="—"/>
    <s v="—"/>
    <x v="109"/>
  </r>
  <r>
    <x v="5"/>
    <x v="19"/>
    <n v="461.688720801908"/>
    <x v="212"/>
    <x v="211"/>
    <n v="46.401239229454703"/>
    <s v="—"/>
    <s v="—"/>
    <s v="—"/>
    <s v="—"/>
    <s v="—"/>
    <s v="—"/>
    <s v="—"/>
    <s v="—"/>
    <n v="9.1818075902793996"/>
    <s v="—"/>
    <s v="—"/>
    <s v="—"/>
    <s v="—"/>
    <x v="12"/>
  </r>
  <r>
    <x v="5"/>
    <x v="20"/>
    <n v="523.10251518708003"/>
    <x v="213"/>
    <x v="212"/>
    <n v="50.271259311312797"/>
    <s v="—"/>
    <s v="—"/>
    <s v="—"/>
    <s v="—"/>
    <s v="—"/>
    <s v="—"/>
    <s v="—"/>
    <s v="—"/>
    <n v="12.8367696362932"/>
    <s v="—"/>
    <s v="—"/>
    <s v="—"/>
    <s v="—"/>
    <x v="1"/>
  </r>
  <r>
    <x v="5"/>
    <x v="21"/>
    <n v="547.45847881515203"/>
    <x v="214"/>
    <x v="213"/>
    <n v="50.030898125258197"/>
    <s v="—"/>
    <s v="—"/>
    <s v="—"/>
    <s v="—"/>
    <s v="—"/>
    <s v="—"/>
    <s v="—"/>
    <s v="—"/>
    <n v="16.348170087583"/>
    <s v="—"/>
    <s v="—"/>
    <s v="—"/>
    <s v="—"/>
    <x v="0"/>
  </r>
  <r>
    <x v="5"/>
    <x v="22"/>
    <n v="486.16608346450602"/>
    <x v="215"/>
    <x v="214"/>
    <n v="48.482673390402397"/>
    <s v="—"/>
    <s v="—"/>
    <s v="—"/>
    <s v="—"/>
    <s v="—"/>
    <s v="—"/>
    <s v="—"/>
    <s v="—"/>
    <n v="11.715261534656401"/>
    <s v="—"/>
    <s v="—"/>
    <s v="—"/>
    <s v="—"/>
    <x v="110"/>
  </r>
  <r>
    <x v="5"/>
    <x v="23"/>
    <n v="486.421334787376"/>
    <x v="216"/>
    <x v="215"/>
    <n v="49.726001911021299"/>
    <s v="—"/>
    <s v="—"/>
    <s v="—"/>
    <s v="—"/>
    <s v="—"/>
    <s v="—"/>
    <s v="—"/>
    <s v="—"/>
    <n v="12.107376896938"/>
    <s v="—"/>
    <s v="—"/>
    <s v="—"/>
    <s v="—"/>
    <x v="111"/>
  </r>
  <r>
    <x v="5"/>
    <x v="24"/>
    <n v="490.00184036049302"/>
    <x v="217"/>
    <x v="216"/>
    <n v="47.669735825540499"/>
    <s v="—"/>
    <s v="—"/>
    <s v="—"/>
    <s v="—"/>
    <s v="—"/>
    <s v="—"/>
    <s v="—"/>
    <s v="—"/>
    <n v="9.4647641678211301"/>
    <s v="—"/>
    <s v="—"/>
    <s v="—"/>
    <s v="—"/>
    <x v="2"/>
  </r>
  <r>
    <x v="5"/>
    <x v="25"/>
    <n v="405.65463976696799"/>
    <x v="218"/>
    <x v="217"/>
    <n v="41.924683571628201"/>
    <s v="—"/>
    <s v="—"/>
    <s v="—"/>
    <s v="—"/>
    <s v="—"/>
    <s v="—"/>
    <s v="—"/>
    <s v="—"/>
    <s v="27¹"/>
    <s v="—"/>
    <s v="—"/>
    <s v="—"/>
    <s v="—"/>
    <x v="112"/>
  </r>
  <r>
    <x v="5"/>
    <x v="26"/>
    <n v="530.654046403508"/>
    <x v="219"/>
    <x v="218"/>
    <n v="51.45689091565"/>
    <s v="—"/>
    <s v="—"/>
    <s v="—"/>
    <s v="—"/>
    <s v="—"/>
    <s v="—"/>
    <s v="—"/>
    <s v="—"/>
    <n v="15.9622487965063"/>
    <s v="—"/>
    <s v="—"/>
    <s v="—"/>
    <s v="—"/>
    <x v="50"/>
  </r>
  <r>
    <x v="5"/>
    <x v="27"/>
    <n v="521.988848532372"/>
    <x v="220"/>
    <x v="219"/>
    <n v="51.581198583036098"/>
    <s v="—"/>
    <s v="—"/>
    <s v="—"/>
    <s v="—"/>
    <s v="—"/>
    <s v="—"/>
    <s v="—"/>
    <s v="—"/>
    <n v="15.7678450479617"/>
    <s v="—"/>
    <s v="—"/>
    <s v="—"/>
    <s v="—"/>
    <x v="1"/>
  </r>
  <r>
    <x v="5"/>
    <x v="28"/>
    <n v="489.846353153488"/>
    <x v="221"/>
    <x v="220"/>
    <n v="53.111773224774403"/>
    <s v="—"/>
    <s v="—"/>
    <s v="—"/>
    <s v="—"/>
    <s v="—"/>
    <s v="—"/>
    <s v="—"/>
    <s v="—"/>
    <n v="10.734717553073301"/>
    <s v="—"/>
    <s v="—"/>
    <s v="—"/>
    <s v="—"/>
    <x v="3"/>
  </r>
  <r>
    <x v="5"/>
    <x v="29"/>
    <n v="495.428496857271"/>
    <x v="222"/>
    <x v="221"/>
    <n v="44.398973994873799"/>
    <s v="—"/>
    <s v="—"/>
    <s v="—"/>
    <s v="—"/>
    <s v="—"/>
    <s v="—"/>
    <s v="—"/>
    <s v="—"/>
    <n v="11.3188932367097"/>
    <s v="—"/>
    <s v="—"/>
    <s v="—"/>
    <s v="—"/>
    <x v="49"/>
  </r>
  <r>
    <x v="5"/>
    <x v="30"/>
    <n v="466.16098569892898"/>
    <x v="223"/>
    <x v="222"/>
    <n v="41.680115270765803"/>
    <s v="—"/>
    <s v="—"/>
    <s v="—"/>
    <s v="—"/>
    <s v="—"/>
    <s v="—"/>
    <s v="—"/>
    <s v="—"/>
    <n v="8.8825049615312004"/>
    <s v="—"/>
    <s v="—"/>
    <s v="—"/>
    <s v="—"/>
    <x v="113"/>
  </r>
  <r>
    <x v="5"/>
    <x v="31"/>
    <n v="492.10623790658298"/>
    <x v="224"/>
    <x v="223"/>
    <n v="47.246923146419803"/>
    <s v="—"/>
    <s v="—"/>
    <s v="—"/>
    <s v="—"/>
    <s v="—"/>
    <s v="—"/>
    <s v="—"/>
    <s v="—"/>
    <n v="15.0437822931029"/>
    <s v="—"/>
    <s v="—"/>
    <s v="—"/>
    <s v="—"/>
    <x v="0"/>
  </r>
  <r>
    <x v="5"/>
    <x v="32"/>
    <n v="504.455963817407"/>
    <x v="225"/>
    <x v="224"/>
    <n v="49.8939180643086"/>
    <s v="—"/>
    <s v="—"/>
    <s v="—"/>
    <s v="—"/>
    <s v="—"/>
    <s v="—"/>
    <s v="—"/>
    <s v="—"/>
    <n v="14.3035775487874"/>
    <s v="—"/>
    <s v="—"/>
    <s v="—"/>
    <s v="—"/>
    <x v="114"/>
  </r>
  <r>
    <x v="5"/>
    <x v="33"/>
    <n v="479.95750699749499"/>
    <x v="226"/>
    <x v="225"/>
    <n v="44.813082635018397"/>
    <s v="—"/>
    <s v="—"/>
    <s v="—"/>
    <s v="—"/>
    <s v="—"/>
    <s v="—"/>
    <s v="—"/>
    <s v="—"/>
    <n v="12.363261540965"/>
    <s v="—"/>
    <s v="—"/>
    <s v="—"/>
    <s v="—"/>
    <x v="47"/>
  </r>
  <r>
    <x v="5"/>
    <x v="34"/>
    <n v="502.35639820674697"/>
    <x v="227"/>
    <x v="226"/>
    <n v="50.672125113307402"/>
    <s v="—"/>
    <s v="—"/>
    <s v="—"/>
    <s v="—"/>
    <s v="—"/>
    <s v="—"/>
    <s v="—"/>
    <s v="—"/>
    <n v="12.344638521708299"/>
    <s v="—"/>
    <s v="—"/>
    <s v="—"/>
    <s v="—"/>
    <x v="3"/>
  </r>
  <r>
    <x v="5"/>
    <x v="35"/>
    <n v="529.65614727481704"/>
    <x v="228"/>
    <x v="227"/>
    <n v="49.215745138405403"/>
    <s v="—"/>
    <s v="—"/>
    <s v="—"/>
    <s v="—"/>
    <s v="—"/>
    <s v="—"/>
    <s v="—"/>
    <s v="—"/>
    <n v="11.919797229341199"/>
    <s v="—"/>
    <s v="—"/>
    <s v="—"/>
    <s v="—"/>
    <x v="115"/>
  </r>
  <r>
    <x v="5"/>
    <x v="36"/>
    <n v="423.94119032310101"/>
    <x v="229"/>
    <x v="228"/>
    <n v="39.575904584080497"/>
    <s v="—"/>
    <s v="—"/>
    <s v="—"/>
    <s v="—"/>
    <s v="—"/>
    <s v="—"/>
    <s v="—"/>
    <s v="—"/>
    <n v="18.4991177904271"/>
    <s v="—"/>
    <s v="—"/>
    <s v="—"/>
    <s v="—"/>
    <x v="116"/>
  </r>
  <r>
    <x v="5"/>
    <x v="37"/>
    <n v="495.44415847633798"/>
    <x v="230"/>
    <x v="229"/>
    <n v="50.661280325909999"/>
    <s v="—"/>
    <s v="—"/>
    <s v="—"/>
    <s v="—"/>
    <s v="—"/>
    <s v="—"/>
    <s v="—"/>
    <s v="—"/>
    <n v="15.269321914605101"/>
    <s v="—"/>
    <s v="—"/>
    <s v="—"/>
    <s v="—"/>
    <x v="97"/>
  </r>
  <r>
    <x v="5"/>
    <x v="38"/>
    <n v="474.35215765383998"/>
    <x v="231"/>
    <x v="24"/>
    <n v="52.528218789258901"/>
    <s v="—"/>
    <s v="—"/>
    <s v="—"/>
    <s v="—"/>
    <s v="—"/>
    <s v="—"/>
    <s v="—"/>
    <s v="—"/>
    <s v="15¹"/>
    <s v="—"/>
    <s v="—"/>
    <s v="—"/>
    <s v="—"/>
    <x v="24"/>
  </r>
  <r>
    <x v="6"/>
    <x v="0"/>
    <n v="499.46352490047298"/>
    <x v="24"/>
    <x v="230"/>
    <n v="48.833010680266"/>
    <s v="—"/>
    <s v="—"/>
    <s v="—"/>
    <n v="-0.21127346749822701"/>
    <s v="—"/>
    <s v="—"/>
    <s v="—"/>
    <s v="—"/>
    <n v="13.4373040880192"/>
    <s v="—"/>
    <n v="4.3295371907978303E-3"/>
    <s v="—"/>
    <s v="—"/>
    <x v="0"/>
  </r>
  <r>
    <x v="6"/>
    <x v="1"/>
    <n v="524.266004324964"/>
    <x v="24"/>
    <x v="231"/>
    <n v="52.5896762491234"/>
    <s v="—"/>
    <s v="—"/>
    <s v="—"/>
    <n v="8.3013029147119902E-3"/>
    <s v="—"/>
    <s v="—"/>
    <s v="—"/>
    <s v="—"/>
    <n v="13.5451179183731"/>
    <s v="—"/>
    <n v="5.3623936723764899E-2"/>
    <s v="—"/>
    <s v="—"/>
    <x v="47"/>
  </r>
  <r>
    <x v="6"/>
    <x v="2"/>
    <n v="505.61098361977798"/>
    <x v="24"/>
    <x v="232"/>
    <n v="47.064909978896203"/>
    <s v="—"/>
    <s v="—"/>
    <s v="—"/>
    <n v="-0.56823175331832398"/>
    <s v="—"/>
    <s v="—"/>
    <s v="—"/>
    <s v="—"/>
    <n v="13.0351017674004"/>
    <s v="—"/>
    <n v="0.438879564402261"/>
    <s v="—"/>
    <s v="—"/>
    <x v="117"/>
  </r>
  <r>
    <x v="6"/>
    <x v="3"/>
    <n v="529.28641462986297"/>
    <x v="24"/>
    <x v="233"/>
    <n v="50.592867427687501"/>
    <s v="—"/>
    <s v="—"/>
    <s v="—"/>
    <n v="-0.31298557284231698"/>
    <s v="—"/>
    <s v="—"/>
    <s v="—"/>
    <s v="—"/>
    <n v="9.4020741598708604"/>
    <s v="—"/>
    <n v="-0.2661542005793"/>
    <s v="—"/>
    <s v="—"/>
    <x v="44"/>
  </r>
  <r>
    <x v="6"/>
    <x v="4"/>
    <n v="532.48673619702402"/>
    <x v="24"/>
    <x v="234"/>
    <n v="52.578392367133503"/>
    <s v="—"/>
    <s v="—"/>
    <s v="—"/>
    <n v="2.6109680596948501E-2"/>
    <s v="—"/>
    <s v="—"/>
    <s v="—"/>
    <s v="—"/>
    <n v="17.003206730601399"/>
    <s v="—"/>
    <n v="3.0765531394714499E-2"/>
    <s v="—"/>
    <s v="—"/>
    <x v="22"/>
  </r>
  <r>
    <x v="6"/>
    <x v="5"/>
    <s v="—"/>
    <x v="24"/>
    <x v="24"/>
    <s v="—"/>
    <s v="—"/>
    <s v="—"/>
    <s v="—"/>
    <s v="—"/>
    <s v="—"/>
    <s v="—"/>
    <s v="—"/>
    <s v="—"/>
    <s v="—"/>
    <s v="—"/>
    <s v="—"/>
    <s v="—"/>
    <s v="—"/>
    <x v="118"/>
  </r>
  <r>
    <x v="6"/>
    <x v="6"/>
    <s v="—"/>
    <x v="24"/>
    <x v="24"/>
    <s v="—"/>
    <s v="—"/>
    <s v="—"/>
    <s v="—"/>
    <s v="—"/>
    <s v="—"/>
    <s v="—"/>
    <s v="—"/>
    <s v="—"/>
    <s v="—"/>
    <s v="—"/>
    <s v="—"/>
    <s v="—"/>
    <s v="—"/>
    <x v="0"/>
  </r>
  <r>
    <x v="6"/>
    <x v="7"/>
    <s v="—"/>
    <x v="24"/>
    <x v="24"/>
    <s v="—"/>
    <s v="—"/>
    <s v="—"/>
    <s v="—"/>
    <s v="—"/>
    <s v="—"/>
    <s v="—"/>
    <s v="—"/>
    <s v="—"/>
    <s v="—"/>
    <s v="—"/>
    <s v="—"/>
    <s v="—"/>
    <s v="—"/>
    <x v="0"/>
  </r>
  <r>
    <x v="6"/>
    <x v="8"/>
    <n v="516.45500074502797"/>
    <x v="24"/>
    <x v="235"/>
    <n v="50.050773640367503"/>
    <s v="—"/>
    <s v="—"/>
    <s v="—"/>
    <n v="-0.35242349585445298"/>
    <s v="—"/>
    <s v="—"/>
    <s v="—"/>
    <s v="—"/>
    <n v="15.152479914656499"/>
    <s v="—"/>
    <n v="-0.256131734122447"/>
    <s v="—"/>
    <s v="—"/>
    <x v="1"/>
  </r>
  <r>
    <x v="6"/>
    <x v="9"/>
    <n v="514.28767510856903"/>
    <x v="24"/>
    <x v="236"/>
    <n v="49.262173463832099"/>
    <s v="—"/>
    <s v="—"/>
    <s v="—"/>
    <n v="-8.3855949220954198E-2"/>
    <s v="—"/>
    <s v="—"/>
    <s v="—"/>
    <s v="—"/>
    <n v="11.2840323918763"/>
    <s v="—"/>
    <n v="2.16373144151507E-2"/>
    <s v="—"/>
    <s v="—"/>
    <x v="84"/>
  </r>
  <r>
    <x v="6"/>
    <x v="10"/>
    <s v="—"/>
    <x v="24"/>
    <x v="24"/>
    <s v="—"/>
    <s v="—"/>
    <s v="—"/>
    <s v="—"/>
    <s v="—"/>
    <s v="—"/>
    <s v="—"/>
    <s v="—"/>
    <s v="—"/>
    <s v="—"/>
    <s v="—"/>
    <s v="—"/>
    <s v="—"/>
    <s v="—"/>
    <x v="98"/>
  </r>
  <r>
    <x v="6"/>
    <x v="11"/>
    <n v="544.28918700619795"/>
    <x v="24"/>
    <x v="237"/>
    <n v="50.226454058197596"/>
    <s v="—"/>
    <s v="—"/>
    <s v="—"/>
    <n v="-0.14555011899661799"/>
    <s v="—"/>
    <s v="—"/>
    <s v="—"/>
    <s v="—"/>
    <n v="10.752593997060201"/>
    <s v="—"/>
    <n v="-6.7614068552966401E-3"/>
    <s v="—"/>
    <s v="—"/>
    <x v="55"/>
  </r>
  <r>
    <x v="6"/>
    <x v="12"/>
    <n v="510.79947348592702"/>
    <x v="24"/>
    <x v="238"/>
    <n v="48.659709545128003"/>
    <s v="—"/>
    <s v="—"/>
    <s v="—"/>
    <n v="-0.366952055075008"/>
    <s v="—"/>
    <s v="—"/>
    <s v="—"/>
    <s v="—"/>
    <s v="—"/>
    <s v="—"/>
    <n v="-0.166276148187772"/>
    <s v="—"/>
    <s v="—"/>
    <x v="93"/>
  </r>
  <r>
    <x v="6"/>
    <x v="13"/>
    <n v="502.985532699418"/>
    <x v="24"/>
    <x v="239"/>
    <n v="49.326426331805301"/>
    <s v="—"/>
    <s v="—"/>
    <s v="—"/>
    <n v="-0.47229847953903997"/>
    <s v="—"/>
    <s v="—"/>
    <s v="—"/>
    <s v="—"/>
    <n v="17.618387783179699"/>
    <s v="—"/>
    <n v="0.24306966249300399"/>
    <s v="—"/>
    <s v="—"/>
    <x v="119"/>
  </r>
  <r>
    <x v="6"/>
    <x v="14"/>
    <n v="444.91186270493699"/>
    <x v="24"/>
    <x v="240"/>
    <n v="46.935241388566297"/>
    <s v="—"/>
    <s v="—"/>
    <s v="—"/>
    <n v="-0.26328151149183898"/>
    <s v="—"/>
    <s v="—"/>
    <s v="—"/>
    <s v="—"/>
    <n v="9.6885414234519995"/>
    <s v="—"/>
    <n v="4.6945390037784598E-2"/>
    <s v="—"/>
    <s v="—"/>
    <x v="120"/>
  </r>
  <r>
    <x v="6"/>
    <x v="15"/>
    <n v="490.012392234689"/>
    <x v="24"/>
    <x v="241"/>
    <n v="48.580184610879101"/>
    <s v="—"/>
    <s v="—"/>
    <s v="—"/>
    <n v="-0.28691725784205002"/>
    <s v="—"/>
    <s v="—"/>
    <s v="—"/>
    <s v="—"/>
    <n v="10.264363652596501"/>
    <s v="—"/>
    <n v="8.81689904602109E-2"/>
    <s v="—"/>
    <s v="—"/>
    <x v="2"/>
  </r>
  <r>
    <x v="6"/>
    <x v="16"/>
    <n v="515.10865028655405"/>
    <x v="24"/>
    <x v="242"/>
    <n v="53.724320137988698"/>
    <s v="—"/>
    <s v="—"/>
    <s v="—"/>
    <n v="-3.6099372821893599E-2"/>
    <s v="—"/>
    <s v="—"/>
    <s v="—"/>
    <s v="—"/>
    <n v="11.369861600483301"/>
    <s v="—"/>
    <n v="0.169308503579786"/>
    <s v="—"/>
    <s v="—"/>
    <x v="62"/>
  </r>
  <r>
    <x v="6"/>
    <x v="17"/>
    <n v="502.837319707831"/>
    <x v="24"/>
    <x v="243"/>
    <n v="48.338116231728698"/>
    <s v="—"/>
    <s v="—"/>
    <s v="—"/>
    <n v="-0.215666099168692"/>
    <s v="—"/>
    <s v="—"/>
    <s v="—"/>
    <s v="—"/>
    <s v="14¹"/>
    <s v="—"/>
    <n v="8.7539892853140899E-2"/>
    <s v="—"/>
    <s v="—"/>
    <x v="35"/>
  </r>
  <r>
    <x v="6"/>
    <x v="18"/>
    <s v="—"/>
    <x v="24"/>
    <x v="24"/>
    <s v="—"/>
    <s v="—"/>
    <s v="—"/>
    <s v="—"/>
    <s v="—"/>
    <s v="—"/>
    <s v="—"/>
    <s v="—"/>
    <s v="—"/>
    <s v="—"/>
    <s v="—"/>
    <s v="—"/>
    <s v="—"/>
    <s v="—"/>
    <x v="121"/>
  </r>
  <r>
    <x v="6"/>
    <x v="19"/>
    <n v="465.66421007197999"/>
    <x v="24"/>
    <x v="244"/>
    <n v="46.834203660301299"/>
    <s v="—"/>
    <s v="—"/>
    <s v="—"/>
    <n v="-0.32068394273568801"/>
    <s v="—"/>
    <s v="—"/>
    <s v="—"/>
    <s v="—"/>
    <n v="10.0419784484818"/>
    <s v="—"/>
    <n v="5.9396903953744203E-2"/>
    <s v="—"/>
    <s v="—"/>
    <x v="99"/>
  </r>
  <r>
    <x v="6"/>
    <x v="20"/>
    <n v="534.13650163647196"/>
    <x v="24"/>
    <x v="245"/>
    <n v="49.978127933634198"/>
    <s v="—"/>
    <s v="—"/>
    <s v="—"/>
    <n v="-0.51184206765719298"/>
    <s v="—"/>
    <s v="—"/>
    <s v="—"/>
    <s v="—"/>
    <n v="14.001718244550499"/>
    <s v="—"/>
    <n v="-0.50080074388252405"/>
    <s v="—"/>
    <s v="—"/>
    <x v="1"/>
  </r>
  <r>
    <x v="6"/>
    <x v="21"/>
    <n v="542.22736964341595"/>
    <x v="24"/>
    <x v="246"/>
    <n v="46.3196403819301"/>
    <s v="—"/>
    <s v="—"/>
    <s v="—"/>
    <n v="-0.40591922998750402"/>
    <s v="—"/>
    <s v="—"/>
    <s v="—"/>
    <s v="—"/>
    <n v="16.357004406654401"/>
    <s v="—"/>
    <n v="-0.36765717641737"/>
    <s v="—"/>
    <s v="—"/>
    <x v="0"/>
  </r>
  <r>
    <x v="6"/>
    <x v="22"/>
    <n v="483.37494883084901"/>
    <x v="24"/>
    <x v="247"/>
    <n v="50.281780629113797"/>
    <s v="—"/>
    <s v="—"/>
    <s v="—"/>
    <n v="-0.16300483846689401"/>
    <s v="—"/>
    <s v="—"/>
    <s v="—"/>
    <s v="—"/>
    <n v="12.712205640853"/>
    <s v="—"/>
    <n v="-0.19627441084357"/>
    <s v="—"/>
    <s v="—"/>
    <x v="122"/>
  </r>
  <r>
    <x v="6"/>
    <x v="23"/>
    <s v="—"/>
    <x v="24"/>
    <x v="24"/>
    <s v="—"/>
    <s v="—"/>
    <s v="—"/>
    <s v="—"/>
    <s v="—"/>
    <s v="—"/>
    <s v="—"/>
    <s v="—"/>
    <s v="—"/>
    <s v="—"/>
    <s v="—"/>
    <s v="—"/>
    <s v="—"/>
    <s v="—"/>
    <x v="69"/>
  </r>
  <r>
    <x v="6"/>
    <x v="24"/>
    <n v="493.20855658869402"/>
    <x v="24"/>
    <x v="248"/>
    <n v="48.168665705724401"/>
    <s v="—"/>
    <s v="—"/>
    <s v="—"/>
    <n v="-0.48354677207368202"/>
    <s v="—"/>
    <s v="—"/>
    <s v="—"/>
    <s v="—"/>
    <n v="10.252310934824999"/>
    <s v="—"/>
    <n v="0.232900045353235"/>
    <s v="—"/>
    <s v="—"/>
    <x v="46"/>
  </r>
  <r>
    <x v="6"/>
    <x v="25"/>
    <n v="385.21833934422301"/>
    <x v="24"/>
    <x v="249"/>
    <n v="40.117212631912302"/>
    <s v="—"/>
    <s v="—"/>
    <s v="—"/>
    <n v="0.22019423503049801"/>
    <s v="—"/>
    <s v="—"/>
    <s v="—"/>
    <s v="—"/>
    <s v="—"/>
    <s v="—"/>
    <n v="8.5039595736409096E-2"/>
    <s v="—"/>
    <s v="—"/>
    <x v="1"/>
  </r>
  <r>
    <x v="6"/>
    <x v="26"/>
    <n v="537.82327629883002"/>
    <x v="24"/>
    <x v="250"/>
    <n v="51.263038477320301"/>
    <s v="—"/>
    <s v="—"/>
    <s v="—"/>
    <n v="-0.45534367673571902"/>
    <s v="—"/>
    <s v="—"/>
    <s v="—"/>
    <s v="—"/>
    <n v="15.3671937113692"/>
    <s v="—"/>
    <n v="-4.7005322062710499E-2"/>
    <s v="—"/>
    <s v="—"/>
    <x v="1"/>
  </r>
  <r>
    <x v="6"/>
    <x v="27"/>
    <n v="523.48658487473699"/>
    <x v="24"/>
    <x v="251"/>
    <n v="51.457566412527299"/>
    <s v="—"/>
    <s v="—"/>
    <s v="—"/>
    <n v="-7.0324944723523602E-2"/>
    <s v="—"/>
    <s v="—"/>
    <s v="—"/>
    <s v="—"/>
    <n v="16.461083530539099"/>
    <s v="—"/>
    <n v="4.7194694430289404E-3"/>
    <s v="—"/>
    <s v="—"/>
    <x v="1"/>
  </r>
  <r>
    <x v="6"/>
    <x v="28"/>
    <n v="495.18539027849101"/>
    <x v="24"/>
    <x v="252"/>
    <n v="54.626967092901403"/>
    <s v="—"/>
    <s v="—"/>
    <s v="—"/>
    <n v="-0.31129645184021698"/>
    <s v="—"/>
    <s v="—"/>
    <s v="—"/>
    <s v="—"/>
    <s v="10¹"/>
    <s v="—"/>
    <n v="0.241917050630195"/>
    <s v="—"/>
    <s v="—"/>
    <x v="45"/>
  </r>
  <r>
    <x v="6"/>
    <x v="29"/>
    <n v="490.23877616912603"/>
    <x v="24"/>
    <x v="253"/>
    <n v="44.956447186340498"/>
    <s v="—"/>
    <s v="—"/>
    <s v="—"/>
    <n v="-0.373582658079602"/>
    <s v="—"/>
    <s v="—"/>
    <s v="—"/>
    <s v="—"/>
    <n v="13.298184610174699"/>
    <s v="—"/>
    <n v="-0.14951649958753599"/>
    <s v="—"/>
    <s v="—"/>
    <x v="99"/>
  </r>
  <r>
    <x v="6"/>
    <x v="30"/>
    <n v="466.01669454882301"/>
    <x v="24"/>
    <x v="254"/>
    <n v="43.101363475631402"/>
    <s v="—"/>
    <s v="—"/>
    <s v="—"/>
    <n v="2.47043230885577E-2"/>
    <s v="—"/>
    <s v="—"/>
    <s v="—"/>
    <s v="—"/>
    <n v="10.994476731805999"/>
    <s v="—"/>
    <n v="0.10094380312328501"/>
    <s v="—"/>
    <s v="—"/>
    <x v="123"/>
  </r>
  <r>
    <x v="6"/>
    <x v="31"/>
    <n v="498.18345601374898"/>
    <x v="24"/>
    <x v="255"/>
    <n v="48.793041509428903"/>
    <s v="—"/>
    <s v="—"/>
    <s v="—"/>
    <n v="-0.30250930735121101"/>
    <s v="—"/>
    <s v="—"/>
    <s v="—"/>
    <s v="—"/>
    <n v="14.804710663071599"/>
    <s v="—"/>
    <n v="-0.14557431295644299"/>
    <s v="—"/>
    <s v="—"/>
    <x v="0"/>
  </r>
  <r>
    <x v="6"/>
    <x v="32"/>
    <s v="—"/>
    <x v="24"/>
    <x v="24"/>
    <s v="—"/>
    <s v="—"/>
    <s v="—"/>
    <s v="—"/>
    <s v="—"/>
    <s v="—"/>
    <s v="—"/>
    <s v="—"/>
    <s v="—"/>
    <s v="—"/>
    <s v="—"/>
    <s v="—"/>
    <s v="—"/>
    <s v="—"/>
    <x v="2"/>
  </r>
  <r>
    <x v="6"/>
    <x v="33"/>
    <n v="485.10805648692201"/>
    <x v="24"/>
    <x v="256"/>
    <n v="44.290638185391799"/>
    <s v="—"/>
    <s v="—"/>
    <s v="—"/>
    <n v="-0.273736502839309"/>
    <s v="—"/>
    <s v="—"/>
    <s v="—"/>
    <s v="—"/>
    <s v="14¹"/>
    <s v="—"/>
    <n v="0.20774099243569699"/>
    <s v="—"/>
    <s v="—"/>
    <x v="63"/>
  </r>
  <r>
    <x v="6"/>
    <x v="34"/>
    <n v="509.04644906409499"/>
    <x v="24"/>
    <x v="257"/>
    <n v="50.636359902954503"/>
    <s v="—"/>
    <s v="—"/>
    <s v="—"/>
    <n v="-3.7547687997479998E-2"/>
    <s v="—"/>
    <s v="—"/>
    <s v="—"/>
    <s v="—"/>
    <n v="12.397517446731699"/>
    <s v="—"/>
    <n v="0.25167703664751701"/>
    <s v="—"/>
    <s v="—"/>
    <x v="124"/>
  </r>
  <r>
    <x v="6"/>
    <x v="35"/>
    <n v="526.55314814433996"/>
    <x v="24"/>
    <x v="258"/>
    <n v="49.300102697863899"/>
    <s v="—"/>
    <s v="—"/>
    <s v="—"/>
    <n v="-0.20546474157813599"/>
    <s v="—"/>
    <s v="—"/>
    <s v="—"/>
    <s v="—"/>
    <s v="13¹"/>
    <s v="—"/>
    <n v="0.19649684347582699"/>
    <s v="—"/>
    <s v="—"/>
    <x v="1"/>
  </r>
  <r>
    <x v="6"/>
    <x v="36"/>
    <n v="423.41941009498998"/>
    <x v="24"/>
    <x v="259"/>
    <n v="41.569053162006298"/>
    <s v="—"/>
    <s v="—"/>
    <s v="—"/>
    <n v="0.15309783964232401"/>
    <s v="—"/>
    <s v="—"/>
    <s v="—"/>
    <s v="—"/>
    <s v="22¹"/>
    <s v="—"/>
    <n v="-0.42005286604132003"/>
    <s v="—"/>
    <s v="—"/>
    <x v="125"/>
  </r>
  <r>
    <x v="6"/>
    <x v="37"/>
    <n v="508.25808159830302"/>
    <x v="24"/>
    <x v="260"/>
    <n v="49.649915563786401"/>
    <s v="—"/>
    <s v="—"/>
    <s v="—"/>
    <n v="-5.4286716949514403E-2"/>
    <s v="—"/>
    <s v="—"/>
    <s v="—"/>
    <s v="—"/>
    <n v="15.544137127721999"/>
    <s v="—"/>
    <n v="9.1320410101468796E-2"/>
    <s v="—"/>
    <s v="—"/>
    <x v="99"/>
  </r>
  <r>
    <x v="6"/>
    <x v="38"/>
    <n v="482.88278947585098"/>
    <x v="24"/>
    <x v="261"/>
    <n v="54.549961048143899"/>
    <s v="—"/>
    <s v="—"/>
    <s v="—"/>
    <n v="9.1466331468796597E-2"/>
    <s v="—"/>
    <s v="—"/>
    <s v="—"/>
    <s v="—"/>
    <s v="16¹"/>
    <s v="—"/>
    <s v="—"/>
    <s v="—"/>
    <s v="—"/>
    <x v="102"/>
  </r>
  <r>
    <x v="7"/>
    <x v="0"/>
    <s v="—"/>
    <x v="24"/>
    <x v="262"/>
    <n v="48.729426242488401"/>
    <s v="—"/>
    <s v="—"/>
    <s v="—"/>
    <s v="—"/>
    <n v="4.0940571728314001"/>
    <n v="4.1017290852602297"/>
    <n v="4.2599026137890297"/>
    <s v="—"/>
    <n v="13.8950135532142"/>
    <s v="—"/>
    <s v="—"/>
    <s v="—"/>
    <s v="—"/>
    <x v="0"/>
  </r>
  <r>
    <x v="7"/>
    <x v="1"/>
    <s v="—"/>
    <x v="24"/>
    <x v="263"/>
    <n v="52.248209388132999"/>
    <s v="—"/>
    <s v="—"/>
    <s v="—"/>
    <s v="—"/>
    <n v="4.7158622627109601"/>
    <n v="4.2550767941871097"/>
    <n v="4.6345032809636004"/>
    <s v="—"/>
    <n v="13.7070513300604"/>
    <s v="—"/>
    <s v="—"/>
    <s v="—"/>
    <s v="—"/>
    <x v="1"/>
  </r>
  <r>
    <x v="7"/>
    <x v="2"/>
    <s v="—"/>
    <x v="24"/>
    <x v="264"/>
    <n v="48.642239901387001"/>
    <s v="—"/>
    <s v="—"/>
    <s v="—"/>
    <s v="—"/>
    <n v="2.9902106090474798"/>
    <n v="3.12344755117629"/>
    <n v="2.84634956785967"/>
    <s v="—"/>
    <n v="12.6378451650555"/>
    <s v="—"/>
    <s v="—"/>
    <s v="—"/>
    <s v="—"/>
    <x v="126"/>
  </r>
  <r>
    <x v="7"/>
    <x v="3"/>
    <s v="—"/>
    <x v="24"/>
    <x v="265"/>
    <n v="48.947513944057903"/>
    <s v="—"/>
    <s v="—"/>
    <s v="—"/>
    <s v="—"/>
    <n v="4.0343108787471902"/>
    <n v="2.7703643470455601"/>
    <n v="4.1173348912458403"/>
    <s v="—"/>
    <n v="9.7450709908156696"/>
    <s v="—"/>
    <s v="—"/>
    <s v="—"/>
    <s v="—"/>
    <x v="51"/>
  </r>
  <r>
    <x v="7"/>
    <x v="4"/>
    <s v="—"/>
    <x v="24"/>
    <x v="266"/>
    <n v="52.831933741663903"/>
    <s v="—"/>
    <s v="—"/>
    <s v="—"/>
    <s v="—"/>
    <n v="4.2218438214755496"/>
    <n v="4.0723377912050696"/>
    <n v="4.34575059914095"/>
    <s v="—"/>
    <s v="—"/>
    <s v="—"/>
    <s v="—"/>
    <s v="—"/>
    <s v="—"/>
    <x v="10"/>
  </r>
  <r>
    <x v="7"/>
    <x v="5"/>
    <s v="—"/>
    <x v="24"/>
    <x v="267"/>
    <n v="39.865088569555297"/>
    <s v="—"/>
    <s v="—"/>
    <s v="—"/>
    <s v="—"/>
    <n v="5.0234968443207197"/>
    <n v="5.3222412687265797"/>
    <n v="4.9117859673174697"/>
    <s v="—"/>
    <s v="29¹"/>
    <s v="—"/>
    <s v="—"/>
    <s v="—"/>
    <s v="—"/>
    <x v="127"/>
  </r>
  <r>
    <x v="7"/>
    <x v="6"/>
    <s v="—"/>
    <x v="24"/>
    <x v="24"/>
    <s v="—"/>
    <s v="—"/>
    <s v="—"/>
    <s v="—"/>
    <s v="—"/>
    <s v="—"/>
    <s v="—"/>
    <s v="—"/>
    <s v="—"/>
    <s v="—"/>
    <s v="—"/>
    <s v="—"/>
    <s v="—"/>
    <s v="—"/>
    <x v="0"/>
  </r>
  <r>
    <x v="7"/>
    <x v="7"/>
    <s v="—"/>
    <x v="24"/>
    <x v="24"/>
    <s v="—"/>
    <s v="—"/>
    <s v="—"/>
    <s v="—"/>
    <s v="—"/>
    <s v="—"/>
    <s v="—"/>
    <s v="—"/>
    <s v="—"/>
    <s v="—"/>
    <s v="—"/>
    <s v="—"/>
    <s v="—"/>
    <s v="—"/>
    <x v="0"/>
  </r>
  <r>
    <x v="7"/>
    <x v="8"/>
    <s v="—"/>
    <x v="24"/>
    <x v="268"/>
    <n v="48.310360290198503"/>
    <s v="—"/>
    <s v="—"/>
    <s v="—"/>
    <s v="—"/>
    <n v="3.65249873829401"/>
    <n v="5.0412051632547996"/>
    <n v="3.5788468295944602"/>
    <s v="—"/>
    <n v="15.455733170685299"/>
    <s v="—"/>
    <s v="—"/>
    <s v="—"/>
    <s v="—"/>
    <x v="1"/>
  </r>
  <r>
    <x v="7"/>
    <x v="9"/>
    <s v="—"/>
    <x v="24"/>
    <x v="269"/>
    <n v="49.732987293789499"/>
    <s v="—"/>
    <s v="—"/>
    <s v="—"/>
    <s v="—"/>
    <s v="4¹"/>
    <s v="2.6¹"/>
    <s v="6.9¹"/>
    <s v="—"/>
    <n v="11.4307763264922"/>
    <s v="—"/>
    <s v="—"/>
    <s v="—"/>
    <s v="—"/>
    <x v="128"/>
  </r>
  <r>
    <x v="7"/>
    <x v="10"/>
    <s v="—"/>
    <x v="24"/>
    <x v="24"/>
    <s v="—"/>
    <s v="—"/>
    <s v="—"/>
    <s v="—"/>
    <s v="—"/>
    <s v="—"/>
    <s v="—"/>
    <s v="—"/>
    <s v="—"/>
    <s v="—"/>
    <s v="—"/>
    <s v="—"/>
    <s v="—"/>
    <s v="—"/>
    <x v="129"/>
  </r>
  <r>
    <x v="7"/>
    <x v="11"/>
    <s v="—"/>
    <x v="24"/>
    <x v="270"/>
    <n v="50.000953695938499"/>
    <s v="—"/>
    <s v="—"/>
    <s v="—"/>
    <s v="—"/>
    <n v="3.4895608154256799"/>
    <n v="4.4551682227395197"/>
    <n v="3.0588114501730699"/>
    <s v="—"/>
    <n v="11.2777634759139"/>
    <s v="—"/>
    <s v="—"/>
    <s v="—"/>
    <s v="—"/>
    <x v="27"/>
  </r>
  <r>
    <x v="7"/>
    <x v="12"/>
    <s v="—"/>
    <x v="24"/>
    <x v="271"/>
    <n v="48.265041411429301"/>
    <s v="—"/>
    <s v="—"/>
    <s v="—"/>
    <s v="—"/>
    <n v="3.5867800835310999"/>
    <n v="3.8278714720873701"/>
    <n v="4.0169877515434003"/>
    <s v="—"/>
    <s v="12¹"/>
    <s v="—"/>
    <s v="—"/>
    <s v="—"/>
    <s v="—"/>
    <x v="130"/>
  </r>
  <r>
    <x v="7"/>
    <x v="13"/>
    <s v="—"/>
    <x v="24"/>
    <x v="272"/>
    <n v="48.845168172855097"/>
    <s v="—"/>
    <s v="—"/>
    <s v="—"/>
    <s v="—"/>
    <n v="3.7524900218625601"/>
    <n v="4.3100833984918001"/>
    <n v="3.6845045546456099"/>
    <s v="—"/>
    <s v="18¹"/>
    <s v="—"/>
    <s v="—"/>
    <s v="—"/>
    <s v="—"/>
    <x v="17"/>
  </r>
  <r>
    <x v="7"/>
    <x v="14"/>
    <s v="—"/>
    <x v="24"/>
    <x v="273"/>
    <n v="47.761023543123102"/>
    <s v="—"/>
    <s v="—"/>
    <s v="—"/>
    <s v="—"/>
    <s v="4¹"/>
    <s v="4.1¹"/>
    <s v="6.7¹"/>
    <s v="—"/>
    <n v="10.331705911351699"/>
    <s v="—"/>
    <s v="—"/>
    <s v="—"/>
    <s v="—"/>
    <x v="111"/>
  </r>
  <r>
    <x v="7"/>
    <x v="15"/>
    <s v="—"/>
    <x v="24"/>
    <x v="274"/>
    <n v="49.529048092103203"/>
    <s v="—"/>
    <s v="—"/>
    <s v="—"/>
    <s v="—"/>
    <n v="3.7564160011760701"/>
    <n v="6.6254094939330104"/>
    <n v="3.9137883696429299"/>
    <s v="—"/>
    <n v="10.649059174991599"/>
    <s v="—"/>
    <s v="—"/>
    <s v="—"/>
    <s v="—"/>
    <x v="27"/>
  </r>
  <r>
    <x v="7"/>
    <x v="16"/>
    <s v="—"/>
    <x v="24"/>
    <x v="275"/>
    <n v="52.731379643337199"/>
    <s v="—"/>
    <s v="—"/>
    <s v="—"/>
    <s v="—"/>
    <n v="5.78360777218961"/>
    <n v="2.5302626481325499"/>
    <n v="5.7945844115628899"/>
    <s v="—"/>
    <n v="13.014234079301501"/>
    <s v="—"/>
    <s v="—"/>
    <s v="—"/>
    <s v="—"/>
    <x v="1"/>
  </r>
  <r>
    <x v="7"/>
    <x v="17"/>
    <s v="—"/>
    <x v="24"/>
    <x v="276"/>
    <n v="48.425117497073202"/>
    <s v="—"/>
    <s v="—"/>
    <s v="—"/>
    <s v="—"/>
    <n v="4.7251741507301599"/>
    <n v="3.5478978546550701"/>
    <n v="4.5967651490035699"/>
    <s v="—"/>
    <n v="15.023864287307299"/>
    <s v="—"/>
    <s v="—"/>
    <s v="—"/>
    <s v="—"/>
    <x v="83"/>
  </r>
  <r>
    <x v="7"/>
    <x v="18"/>
    <s v="—"/>
    <x v="24"/>
    <x v="277"/>
    <s v="55.3¹"/>
    <s v="—"/>
    <s v="—"/>
    <s v="—"/>
    <s v="—"/>
    <s v="5¹"/>
    <s v="5¹"/>
    <s v="3.9¹"/>
    <s v="—"/>
    <s v="12¹"/>
    <s v="—"/>
    <s v="—"/>
    <s v="—"/>
    <s v="—"/>
    <x v="1"/>
  </r>
  <r>
    <x v="7"/>
    <x v="19"/>
    <s v="—"/>
    <x v="24"/>
    <x v="278"/>
    <n v="47.077065587373298"/>
    <s v="—"/>
    <s v="—"/>
    <s v="—"/>
    <s v="—"/>
    <n v="4.2514688985970697"/>
    <n v="4.1666935203838698"/>
    <n v="5.9956001508402101"/>
    <s v="—"/>
    <n v="9.1587145040671505"/>
    <s v="—"/>
    <s v="—"/>
    <s v="—"/>
    <s v="—"/>
    <x v="39"/>
  </r>
  <r>
    <x v="7"/>
    <x v="20"/>
    <s v="—"/>
    <x v="24"/>
    <x v="279"/>
    <s v="‡"/>
    <s v="—"/>
    <s v="—"/>
    <s v="—"/>
    <s v="—"/>
    <s v="5¹"/>
    <s v="3.3¹"/>
    <s v="4.6¹"/>
    <s v="—"/>
    <n v="15.096503676615599"/>
    <s v="—"/>
    <s v="—"/>
    <s v="—"/>
    <s v="—"/>
    <x v="1"/>
  </r>
  <r>
    <x v="7"/>
    <x v="21"/>
    <s v="—"/>
    <x v="24"/>
    <x v="280"/>
    <n v="42.803791786511603"/>
    <s v="—"/>
    <s v="—"/>
    <s v="—"/>
    <s v="—"/>
    <n v="4.01213929824275"/>
    <n v="3.6863705501410902"/>
    <n v="3.8516273480873702"/>
    <s v="—"/>
    <n v="21.006435545265798"/>
    <s v="—"/>
    <s v="—"/>
    <s v="—"/>
    <s v="—"/>
    <x v="0"/>
  </r>
  <r>
    <x v="7"/>
    <x v="22"/>
    <s v="—"/>
    <x v="24"/>
    <x v="281"/>
    <n v="50.147735654730198"/>
    <s v="—"/>
    <s v="—"/>
    <s v="—"/>
    <s v="—"/>
    <n v="4.7420441320965896"/>
    <n v="5.0676985250271702"/>
    <n v="4.2457705798340299"/>
    <s v="—"/>
    <s v="12¹"/>
    <s v="—"/>
    <s v="—"/>
    <s v="—"/>
    <s v="—"/>
    <x v="1"/>
  </r>
  <r>
    <x v="7"/>
    <x v="23"/>
    <s v="—"/>
    <x v="24"/>
    <x v="24"/>
    <s v="—"/>
    <s v="—"/>
    <s v="—"/>
    <s v="—"/>
    <s v="—"/>
    <s v="—"/>
    <s v="—"/>
    <s v="—"/>
    <s v="—"/>
    <s v="—"/>
    <s v="—"/>
    <s v="—"/>
    <s v="—"/>
    <s v="—"/>
    <x v="59"/>
  </r>
  <r>
    <x v="7"/>
    <x v="24"/>
    <s v="—"/>
    <x v="24"/>
    <x v="282"/>
    <n v="44.785303893121501"/>
    <s v="—"/>
    <s v="—"/>
    <s v="—"/>
    <s v="—"/>
    <n v="4.03820398088099"/>
    <n v="3.1442886408703901"/>
    <n v="3.29697413515792"/>
    <s v="—"/>
    <n v="9.4165142856629895"/>
    <s v="—"/>
    <s v="—"/>
    <s v="—"/>
    <s v="—"/>
    <x v="131"/>
  </r>
  <r>
    <x v="7"/>
    <x v="25"/>
    <s v="—"/>
    <x v="24"/>
    <x v="283"/>
    <n v="42.482574380902001"/>
    <s v="—"/>
    <s v="—"/>
    <s v="—"/>
    <s v="—"/>
    <n v="4.59343867390014"/>
    <s v="6.1¹"/>
    <n v="4.1924934373598202"/>
    <s v="—"/>
    <s v="27¹"/>
    <s v="—"/>
    <s v="—"/>
    <s v="—"/>
    <s v="—"/>
    <x v="132"/>
  </r>
  <r>
    <x v="7"/>
    <x v="26"/>
    <s v="—"/>
    <x v="24"/>
    <x v="284"/>
    <s v="‡"/>
    <s v="—"/>
    <s v="—"/>
    <s v="—"/>
    <s v="—"/>
    <s v="‡"/>
    <s v="‡"/>
    <s v="‡"/>
    <s v="—"/>
    <s v="‡"/>
    <s v="—"/>
    <s v="—"/>
    <s v="—"/>
    <s v="—"/>
    <x v="1"/>
  </r>
  <r>
    <x v="7"/>
    <x v="27"/>
    <s v="—"/>
    <x v="24"/>
    <x v="285"/>
    <n v="52.199971878049098"/>
    <s v="—"/>
    <s v="—"/>
    <s v="—"/>
    <s v="—"/>
    <n v="4.3340410686001398"/>
    <n v="4.6228455541573101"/>
    <n v="4.3374850262128097"/>
    <s v="—"/>
    <n v="12.495472339155"/>
    <s v="—"/>
    <s v="—"/>
    <s v="—"/>
    <s v="—"/>
    <x v="1"/>
  </r>
  <r>
    <x v="7"/>
    <x v="28"/>
    <s v="—"/>
    <x v="24"/>
    <x v="286"/>
    <n v="53.908833178723"/>
    <s v="—"/>
    <s v="—"/>
    <s v="—"/>
    <s v="—"/>
    <s v="4¹"/>
    <s v="2.8¹"/>
    <s v="4.4¹"/>
    <s v="—"/>
    <n v="9.0175730467434292"/>
    <s v="—"/>
    <s v="—"/>
    <s v="—"/>
    <s v="—"/>
    <x v="133"/>
  </r>
  <r>
    <x v="7"/>
    <x v="29"/>
    <s v="—"/>
    <x v="24"/>
    <x v="287"/>
    <n v="46.029597048195697"/>
    <s v="—"/>
    <s v="—"/>
    <s v="—"/>
    <s v="—"/>
    <n v="2.9668016040293299"/>
    <n v="4.7943516413602403"/>
    <n v="3.7628119552185901"/>
    <s v="—"/>
    <n v="12.585948193373699"/>
    <s v="—"/>
    <s v="—"/>
    <s v="—"/>
    <s v="—"/>
    <x v="83"/>
  </r>
  <r>
    <x v="7"/>
    <x v="30"/>
    <s v="—"/>
    <x v="24"/>
    <x v="288"/>
    <n v="43.847089183123003"/>
    <s v="—"/>
    <s v="—"/>
    <s v="—"/>
    <s v="—"/>
    <n v="3.7113692701694898"/>
    <s v="4.7¹"/>
    <n v="3.4946416008332002"/>
    <s v="—"/>
    <n v="8.8945068704734194"/>
    <s v="—"/>
    <s v="—"/>
    <s v="—"/>
    <s v="—"/>
    <x v="1"/>
  </r>
  <r>
    <x v="7"/>
    <x v="31"/>
    <s v="—"/>
    <x v="24"/>
    <x v="24"/>
    <s v="—"/>
    <s v="—"/>
    <s v="—"/>
    <s v="—"/>
    <s v="—"/>
    <s v="—"/>
    <s v="—"/>
    <s v="—"/>
    <s v="—"/>
    <s v="—"/>
    <s v="—"/>
    <s v="—"/>
    <s v="—"/>
    <s v="—"/>
    <x v="0"/>
  </r>
  <r>
    <x v="7"/>
    <x v="32"/>
    <s v="—"/>
    <x v="24"/>
    <x v="24"/>
    <s v="—"/>
    <s v="—"/>
    <s v="—"/>
    <s v="—"/>
    <s v="—"/>
    <s v="—"/>
    <s v="—"/>
    <s v="—"/>
    <s v="—"/>
    <s v="—"/>
    <s v="—"/>
    <s v="—"/>
    <s v="—"/>
    <s v="—"/>
    <x v="1"/>
  </r>
  <r>
    <x v="7"/>
    <x v="33"/>
    <s v="—"/>
    <x v="24"/>
    <x v="289"/>
    <n v="44.991328830997901"/>
    <s v="—"/>
    <s v="—"/>
    <s v="—"/>
    <s v="—"/>
    <n v="3.1150792991082001"/>
    <n v="3.3581968968682401"/>
    <n v="3.35168546399859"/>
    <s v="—"/>
    <n v="14.8158794159087"/>
    <s v="—"/>
    <s v="—"/>
    <s v="—"/>
    <s v="—"/>
    <x v="14"/>
  </r>
  <r>
    <x v="7"/>
    <x v="34"/>
    <s v="—"/>
    <x v="24"/>
    <x v="290"/>
    <n v="50.568693516118003"/>
    <s v="—"/>
    <s v="—"/>
    <s v="—"/>
    <s v="—"/>
    <n v="3.1805792075205299"/>
    <n v="3.1958743293663399"/>
    <n v="3.0340799823492399"/>
    <s v="—"/>
    <n v="12.646524031203001"/>
    <s v="—"/>
    <s v="—"/>
    <s v="—"/>
    <s v="—"/>
    <x v="94"/>
  </r>
  <r>
    <x v="7"/>
    <x v="35"/>
    <s v="—"/>
    <x v="24"/>
    <x v="291"/>
    <n v="49.209639232181097"/>
    <s v="—"/>
    <s v="—"/>
    <s v="—"/>
    <s v="—"/>
    <n v="4.7891102041770797"/>
    <n v="3.5305439044284999"/>
    <n v="4.6187014767444703"/>
    <s v="—"/>
    <n v="12.1176984469527"/>
    <s v="—"/>
    <s v="—"/>
    <s v="—"/>
    <s v="—"/>
    <x v="10"/>
  </r>
  <r>
    <x v="7"/>
    <x v="36"/>
    <s v="—"/>
    <x v="24"/>
    <x v="24"/>
    <s v="—"/>
    <s v="—"/>
    <s v="—"/>
    <s v="—"/>
    <s v="—"/>
    <s v="—"/>
    <s v="—"/>
    <s v="—"/>
    <s v="—"/>
    <s v="—"/>
    <s v="—"/>
    <s v="—"/>
    <s v="—"/>
    <s v="—"/>
    <x v="1"/>
  </r>
  <r>
    <x v="7"/>
    <x v="37"/>
    <s v="—"/>
    <x v="24"/>
    <x v="292"/>
    <n v="51.258107745447703"/>
    <s v="—"/>
    <s v="—"/>
    <s v="—"/>
    <s v="—"/>
    <n v="3.9401952022931401"/>
    <n v="5.6618373494447303"/>
    <n v="4.1756321650581798"/>
    <s v="—"/>
    <n v="16.077981481718499"/>
    <s v="—"/>
    <s v="—"/>
    <s v="—"/>
    <s v="—"/>
    <x v="123"/>
  </r>
  <r>
    <x v="7"/>
    <x v="38"/>
    <s v="—"/>
    <x v="24"/>
    <x v="293"/>
    <n v="52.403824133357098"/>
    <s v="—"/>
    <s v="—"/>
    <s v="—"/>
    <s v="—"/>
    <n v="3.4204092835467699"/>
    <n v="3.3283908112716398"/>
    <n v="3.3928307414154499"/>
    <s v="—"/>
    <s v="15¹"/>
    <s v="—"/>
    <s v="—"/>
    <s v="—"/>
    <s v="—"/>
    <x v="1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472.35812463112501"/>
    <n v="484.646614468069"/>
    <n v="475.588873477959"/>
    <x v="0"/>
    <n v="-0.29873839625562998"/>
    <x v="0"/>
    <n v="-0.14067730657278299"/>
    <n v="-3.4661331669581102E-2"/>
    <x v="0"/>
    <x v="0"/>
    <x v="0"/>
    <n v="166.240622440968"/>
    <n v="13.2521726383467"/>
    <n v="0.83"/>
    <n v="-1.8258519344879199E-2"/>
    <n v="-0.164117727736147"/>
    <n v="2.3584575035485501E-3"/>
    <s v="-"/>
    <s v="-"/>
    <s v="-"/>
    <s v="-"/>
    <n v="48388.078455760813"/>
    <n v="102611.91850000001"/>
  </r>
  <r>
    <x v="0"/>
    <x v="1"/>
    <n v="487.08425354734698"/>
    <n v="507.000869417628"/>
    <n v="498.05093978372099"/>
    <x v="1"/>
    <n v="3.7333864435593E-2"/>
    <x v="1"/>
    <s v="—"/>
    <n v="0.13025617724364899"/>
    <x v="1"/>
    <x v="0"/>
    <x v="0"/>
    <n v="187"/>
    <n v="13"/>
    <n v="0.94099999999999995"/>
    <n v="-0.226701565688982"/>
    <s v="—"/>
    <n v="0.37936659954628799"/>
    <n v="0"/>
    <s v="Oceania"/>
    <n v="-11.37073230743408"/>
    <n v="-21.5"/>
    <n v="55949.216640699924"/>
    <n v="126020.06"/>
  </r>
  <r>
    <x v="0"/>
    <x v="2"/>
    <n v="487.26749908879401"/>
    <n v="491.27095877058503"/>
    <n v="480.40584721829902"/>
    <x v="2"/>
    <n v="-0.26404825728292503"/>
    <x v="2"/>
    <s v="—"/>
    <n v="-0.39363786738795198"/>
    <x v="2"/>
    <x v="0"/>
    <x v="0"/>
    <s v="—"/>
    <n v="10.0748380943787"/>
    <n v="0.85"/>
    <n v="0.44498217817180102"/>
    <s v="—"/>
    <n v="6.9067359471310305E-2"/>
    <n v="30.9"/>
    <s v="Europe"/>
    <n v="-19.055576324462891"/>
    <n v="-20.3"/>
    <n v="59537.539795822944"/>
    <n v="154067.1"/>
  </r>
  <r>
    <x v="0"/>
    <x v="3"/>
    <n v="489.48681680184899"/>
    <n v="490.57834610681402"/>
    <n v="478.852668384217"/>
    <x v="3"/>
    <n v="-0.25310341788482199"/>
    <x v="3"/>
    <s v="—"/>
    <n v="-0.211792448557032"/>
    <x v="3"/>
    <x v="0"/>
    <x v="0"/>
    <n v="149"/>
    <n v="9"/>
    <n v="0.87"/>
    <n v="2.1855229589011801E-2"/>
    <m/>
    <n v="8.2876333975502606E-2"/>
    <n v="26.4"/>
    <s v="Europe"/>
    <n v="-7.6425609588623047"/>
    <n v="-27.5"/>
    <n v="59372.88967586201"/>
    <n v="130344.48"/>
  </r>
  <r>
    <x v="0"/>
    <x v="4"/>
    <n v="496.94789438732198"/>
    <n v="515.01667592948297"/>
    <n v="507.13289582796602"/>
    <x v="4"/>
    <n v="-0.25210810347156798"/>
    <x v="4"/>
    <s v="—"/>
    <s v="—"/>
    <x v="4"/>
    <x v="0"/>
    <x v="0"/>
    <s v="—"/>
    <s v="—"/>
    <n v="0.92"/>
    <n v="-0.161734552913263"/>
    <s v="—"/>
    <n v="0.38110208304910698"/>
    <n v="0"/>
    <s v="North America"/>
    <n v="-12.325277328491209"/>
    <n v="-24.3"/>
    <n v="52789.675434009012"/>
    <n v="121678.16"/>
  </r>
  <r>
    <x v="0"/>
    <x v="5"/>
    <n v="411.69657073076701"/>
    <n v="443.54340246277798"/>
    <n v="447.97895734953102"/>
    <x v="5"/>
    <n v="-0.226802949710771"/>
    <x v="1"/>
    <s v="—"/>
    <n v="0.39686203611620402"/>
    <x v="5"/>
    <x v="0"/>
    <x v="0"/>
    <n v="130.76256710303699"/>
    <n v="18.374936581981199"/>
    <s v="—"/>
    <n v="-0.22015998842257201"/>
    <s v="—"/>
    <n v="-0.50864929312434704"/>
    <n v="43"/>
    <s v="South America"/>
    <n v="-16.28679275512695"/>
    <n v="-6.6"/>
    <n v="28372.039569381031"/>
    <n v="60626.793999999994"/>
  </r>
  <r>
    <x v="0"/>
    <x v="6"/>
    <n v="382.69683523923197"/>
    <n v="411.12067326415098"/>
    <n v="408.66502644949003"/>
    <x v="6"/>
    <n v="-0.209093181032486"/>
    <x v="1"/>
    <n v="4.5472068441072599E-2"/>
    <n v="0.52"/>
    <x v="6"/>
    <x v="0"/>
    <x v="0"/>
    <n v="111.110627537993"/>
    <n v="25.1025893158826"/>
    <n v="0.85"/>
    <n v="-0.15690718765106801"/>
    <n v="0.180623870572616"/>
    <n v="-1.0651248656069801"/>
    <s v="-"/>
    <s v="South America"/>
    <n v="-8.9431600570678711"/>
    <n v="-11.6"/>
    <n v="16903.793882174508"/>
    <n v="37314.824999999997"/>
  </r>
  <r>
    <x v="0"/>
    <x v="7"/>
    <n v="384.57604106950799"/>
    <n v="410.98662356029803"/>
    <n v="415.23308021173199"/>
    <x v="7"/>
    <n v="-0.25354312051269501"/>
    <x v="5"/>
    <n v="0.20099543921621599"/>
    <n v="0.56441419127673298"/>
    <x v="7"/>
    <x v="0"/>
    <x v="0"/>
    <n v="174"/>
    <n v="17"/>
    <n v="0.81"/>
    <n v="-9.4153900568885299E-2"/>
    <n v="1.29574295969646E-2"/>
    <s v="—"/>
    <s v="-"/>
    <s v="North America"/>
    <n v="-15.16378021240234"/>
    <n v="-2.6"/>
    <n v="22613.98137969663"/>
    <m/>
  </r>
  <r>
    <x v="0"/>
    <x v="8"/>
    <n v="486.99920801507602"/>
    <n v="497.74204709768497"/>
    <n v="488.60366867451103"/>
    <x v="8"/>
    <n v="-0.165843531529419"/>
    <x v="6"/>
    <s v="—"/>
    <n v="-0.49632303975843001"/>
    <x v="8"/>
    <x v="0"/>
    <x v="0"/>
    <n v="99.055230233993001"/>
    <n v="13.2413011585574"/>
    <n v="0.87"/>
    <n v="-0.279894787512875"/>
    <s v="—"/>
    <n v="-0.104086068916066"/>
    <n v="25.9"/>
    <s v="Europe"/>
    <n v="-7.423832893371582"/>
    <n v="-29.1"/>
    <n v="45707.471137922344"/>
    <n v="100835.2"/>
  </r>
  <r>
    <x v="0"/>
    <x v="9"/>
    <n v="489.27387686400698"/>
    <n v="493.81571163573102"/>
    <n v="488.80099073132698"/>
    <x v="9"/>
    <n v="-4.3775353482028399E-2"/>
    <x v="7"/>
    <s v="—"/>
    <n v="3.0886562584902101E-3"/>
    <x v="9"/>
    <x v="0"/>
    <x v="0"/>
    <n v="76"/>
    <n v="12"/>
    <s v="—"/>
    <n v="0.109186958787889"/>
    <s v="—"/>
    <n v="0.47607773953594001"/>
    <n v="29.3"/>
    <s v="Europe"/>
    <n v="-11.670992851257321"/>
    <n v="-20.7"/>
    <n v="64672.225839090897"/>
    <n v="130685.34000000001"/>
  </r>
  <r>
    <x v="0"/>
    <x v="10"/>
    <n v="509.94695312703101"/>
    <n v="525.81177838894303"/>
    <n v="511.03033147055498"/>
    <x v="10"/>
    <n v="-0.12847185483537599"/>
    <x v="1"/>
    <s v="—"/>
    <n v="-0.19360039014074601"/>
    <x v="10"/>
    <x v="0"/>
    <x v="0"/>
    <n v="71.225471757856397"/>
    <n v="11.916763026560901"/>
    <n v="0.77"/>
    <n v="-0.13748266427781899"/>
    <s v="—"/>
    <n v="0.15072518801656601"/>
    <n v="32.299999999999997"/>
    <s v="Europe"/>
    <n v="-6.3189001083374023"/>
    <n v="-26.7"/>
    <n v="42380.967545316598"/>
    <m/>
  </r>
  <r>
    <x v="0"/>
    <x v="11"/>
    <n v="484.13922564973097"/>
    <n v="510.95885065682899"/>
    <n v="490.21768492422501"/>
    <x v="11"/>
    <n v="-0.39438433003196999"/>
    <x v="1"/>
    <s v="—"/>
    <n v="-2.1322556700308498E-3"/>
    <x v="11"/>
    <x v="0"/>
    <x v="0"/>
    <n v="115.790330767763"/>
    <n v="10.9022447006265"/>
    <n v="0.88"/>
    <n v="0.101157762839152"/>
    <s v="—"/>
    <n v="0.25848283682790302"/>
    <n v="27.9"/>
    <s v="Europe"/>
    <n v="5.0681619644165039"/>
    <n v="-44.7"/>
    <n v="55203.328302580951"/>
    <n v="126777.01"/>
  </r>
  <r>
    <x v="0"/>
    <x v="12"/>
    <n v="473.94441830649401"/>
    <n v="487.22527848887199"/>
    <n v="473.85215790454299"/>
    <x v="12"/>
    <n v="-0.21940103114492601"/>
    <x v="1"/>
    <s v="—"/>
    <n v="-0.26265549336414501"/>
    <x v="12"/>
    <x v="0"/>
    <x v="0"/>
    <n v="295"/>
    <n v="12"/>
    <n v="0.81"/>
    <n v="-2.6856753886927001E-2"/>
    <s v="—"/>
    <n v="1.85389285668058E-4"/>
    <n v="31.2"/>
    <s v="Europe"/>
    <n v="-9.7898731231689453"/>
    <n v="-20.2"/>
    <n v="50996.43717374852"/>
    <n v="109584.315"/>
  </r>
  <r>
    <x v="0"/>
    <x v="13"/>
    <n v="474.82645387935202"/>
    <n v="492.42672947107798"/>
    <n v="479.794024717816"/>
    <x v="13"/>
    <n v="-0.20320797272301799"/>
    <x v="1"/>
    <s v="—"/>
    <n v="-0.15"/>
    <x v="4"/>
    <x v="0"/>
    <x v="0"/>
    <n v="102"/>
    <n v="14"/>
    <n v="0.86"/>
    <n v="0.26987259279776699"/>
    <m/>
    <n v="-0.136990019180072"/>
    <n v="0"/>
    <s v="Europe"/>
    <n v="-11.371500015258791"/>
    <n v="-19.399999999999999"/>
    <n v="58276.015095214258"/>
    <n v="121061.54000000001"/>
  </r>
  <r>
    <x v="0"/>
    <x v="14"/>
    <n v="430.14632180949002"/>
    <n v="440.78606041342698"/>
    <n v="438.44062513755603"/>
    <x v="14"/>
    <n v="-0.25695866405941797"/>
    <x v="1"/>
    <s v="—"/>
    <n v="-0.39718982480908899"/>
    <x v="13"/>
    <x v="0"/>
    <x v="0"/>
    <n v="95.296987326530299"/>
    <s v="8,7022377807454"/>
    <n v="0.88"/>
    <n v="-5.9726515808331299E-2"/>
    <s v="—"/>
    <n v="-0.15486959374031001"/>
    <n v="33.4"/>
    <s v="Europe"/>
    <n v="-5.9097557067871094"/>
    <n v="-25.4"/>
    <n v="31485.886890085323"/>
    <n v="71509.490000000005"/>
  </r>
  <r>
    <x v="0"/>
    <x v="15"/>
    <n v="472.77612223890901"/>
    <n v="485.89015836823398"/>
    <n v="472.97472595734598"/>
    <x v="15"/>
    <n v="-0.420768191179201"/>
    <x v="8"/>
    <s v="—"/>
    <n v="-0.22273788113680601"/>
    <x v="14"/>
    <x v="0"/>
    <x v="0"/>
    <n v="135"/>
    <n v="11"/>
    <s v="—"/>
    <n v="0.138588123455989"/>
    <s v="—"/>
    <n v="2.97822586707247E-3"/>
    <n v="0"/>
    <s v="Europe"/>
    <n v="-14.857639312744141"/>
    <n v="-16.899999999999999"/>
    <n v="36765.035165067457"/>
    <n v="78968.656000000003"/>
  </r>
  <r>
    <x v="0"/>
    <x v="16"/>
    <n v="458.91401444354199"/>
    <n v="446.96711422657302"/>
    <n v="435.92299455682598"/>
    <x v="16"/>
    <n v="-0.44745929765769499"/>
    <x v="1"/>
    <s v="—"/>
    <n v="0.175436322365039"/>
    <x v="15"/>
    <x v="0"/>
    <x v="0"/>
    <s v="—"/>
    <n v="11"/>
    <n v="0.66"/>
    <n v="0.16405403939413399"/>
    <s v="—"/>
    <n v="0.37810512367993598"/>
    <n v="0"/>
    <s v="Europe"/>
    <n v="-3.399434089660645"/>
    <n v="-35.5"/>
    <n v="57967.283674222323"/>
    <n v="149636.85999999999"/>
  </r>
  <r>
    <x v="0"/>
    <x v="17"/>
    <n v="491.64827959407398"/>
    <n v="503.84553694971498"/>
    <n v="516.00997511441506"/>
    <x v="17"/>
    <n v="-0.29517710367590599"/>
    <x v="1"/>
    <s v="—"/>
    <n v="7.0590126556413099E-2"/>
    <x v="16"/>
    <x v="0"/>
    <x v="0"/>
    <n v="128.95801279629001"/>
    <n v="12.412020907437499"/>
    <n v="0.9"/>
    <n v="-0.132055069750694"/>
    <n v="-0.117192590292706"/>
    <n v="0.33297913554424302"/>
    <n v="29.9"/>
    <s v="Europe"/>
    <n v="-12.72527503967285"/>
    <n v="-18.3"/>
    <n v="105355.19861452862"/>
    <n v="94167.038"/>
  </r>
  <r>
    <x v="0"/>
    <x v="18"/>
    <n v="457.89666661311901"/>
    <n v="464.75182530289101"/>
    <n v="473.83269836397801"/>
    <x v="18"/>
    <s v="—"/>
    <x v="1"/>
    <s v="—"/>
    <n v="0.09"/>
    <x v="17"/>
    <x v="0"/>
    <x v="0"/>
    <n v="171.920694584736"/>
    <n v="11"/>
    <n v="0.83"/>
    <s v="—"/>
    <s v="—"/>
    <n v="0.27995699761137099"/>
    <n v="0"/>
    <s v="Middle East"/>
    <n v="-11.21268272399902"/>
    <n v="-23.1"/>
    <n v="43450.550741679202"/>
    <n v="94352.822000000015"/>
  </r>
  <r>
    <x v="0"/>
    <x v="19"/>
    <n v="471.25947533329497"/>
    <n v="477.46336566973901"/>
    <n v="481.59827768793701"/>
    <x v="19"/>
    <n v="-0.49066922351837"/>
    <x v="9"/>
    <s v="—"/>
    <n v="-0.16053228627564201"/>
    <x v="18"/>
    <x v="0"/>
    <x v="0"/>
    <n v="192.86030590996199"/>
    <n v="8.0992772192697604"/>
    <n v="0.74"/>
    <n v="-6.4720885371625098E-2"/>
    <n v="-0.168524878631509"/>
    <n v="-0.10021047634097301"/>
    <n v="33.700000000000003"/>
    <s v="Europe"/>
    <n v="-21.06221961975098"/>
    <n v="-19.100000000000001"/>
    <n v="46373.51550707654"/>
    <n v="105754.31999999999"/>
  </r>
  <r>
    <x v="0"/>
    <x v="20"/>
    <n v="535.57930594453205"/>
    <n v="546.63445322239102"/>
    <n v="515.85461354437098"/>
    <x v="20"/>
    <n v="-0.72255861550130995"/>
    <x v="1"/>
    <s v="—"/>
    <n v="0.24059202616324099"/>
    <x v="19"/>
    <x v="0"/>
    <x v="0"/>
    <n v="262.02851766514601"/>
    <n v="11.4734789706336"/>
    <n v="0.96"/>
    <n v="0.24595837884086699"/>
    <s v="—"/>
    <n v="-6.8250226610113802E-3"/>
    <n v="0"/>
    <s v="Asia"/>
    <n v="-8.9132423400878906"/>
    <n v="-16.600000000000001"/>
    <n v="42139.987292184698"/>
    <n v="101399.34000000001"/>
  </r>
  <r>
    <x v="0"/>
    <x v="21"/>
    <n v="527.30250200027797"/>
    <n v="527.82241827777602"/>
    <n v="515.41539209757502"/>
    <x v="21"/>
    <n v="-0.91216038520979703"/>
    <x v="1"/>
    <n v="-0.66849942737563695"/>
    <n v="6.5813419641616203E-2"/>
    <x v="20"/>
    <x v="0"/>
    <x v="0"/>
    <n v="235.194988961874"/>
    <n v="11.724466709728"/>
    <n v="0.84"/>
    <n v="0.262511644153688"/>
    <n v="-0.47347519740696697"/>
    <n v="0.22438568641530299"/>
    <s v="-"/>
    <s v="Asia"/>
    <n v="-5.08001708984375"/>
    <n v="-34.200000000000003"/>
    <n v="46888.791402967763"/>
    <n v="144484.99"/>
  </r>
  <r>
    <x v="0"/>
    <x v="22"/>
    <n v="483.159455120676"/>
    <n v="493.84276710497699"/>
    <n v="474.568650865282"/>
    <x v="22"/>
    <n v="5.26530498401293E-2"/>
    <x v="1"/>
    <s v="—"/>
    <n v="-0.21561088272836401"/>
    <x v="21"/>
    <x v="0"/>
    <x v="0"/>
    <n v="63"/>
    <n v="11"/>
    <s v="—"/>
    <n v="-0.245374776496944"/>
    <n v="-0.57999999999999996"/>
    <n v="-9.4825237426023508E-3"/>
    <n v="33.700000000000003"/>
    <s v="Europe"/>
    <n v="-9.5042953491210938"/>
    <n v="-27.6"/>
    <n v="34257.981791964688"/>
    <n v="68784.493000000002"/>
  </r>
  <r>
    <x v="0"/>
    <x v="23"/>
    <n v="475.14676218880697"/>
    <n v="484.46340599730502"/>
    <n v="471.83423007622298"/>
    <x v="23"/>
    <n v="-0.43428205957548599"/>
    <x v="1"/>
    <s v="—"/>
    <n v="-0.18995203343683001"/>
    <x v="22"/>
    <x v="0"/>
    <x v="0"/>
    <n v="100.274335726201"/>
    <n v="11.686657309054601"/>
    <n v="0.92"/>
    <n v="-2.34241872276191E-2"/>
    <s v="—"/>
    <n v="5.22950665852688E-2"/>
    <n v="36.6"/>
    <s v="Europe"/>
    <n v="-5.1497511863708496"/>
    <n v="-30.8"/>
    <n v="43184.994060046622"/>
    <n v="72114.251000000004"/>
  </r>
  <r>
    <x v="0"/>
    <x v="24"/>
    <m/>
    <m/>
    <m/>
    <x v="24"/>
    <m/>
    <x v="3"/>
    <m/>
    <m/>
    <x v="23"/>
    <x v="1"/>
    <x v="1"/>
    <m/>
    <m/>
    <m/>
    <m/>
    <m/>
    <m/>
    <m/>
    <m/>
    <m/>
    <m/>
    <m/>
    <m/>
  </r>
  <r>
    <x v="0"/>
    <x v="25"/>
    <n v="395.02991914664301"/>
    <n v="409.886598247444"/>
    <n v="415.35896204424199"/>
    <x v="25"/>
    <n v="-0.43966064379548497"/>
    <x v="1"/>
    <s v="—"/>
    <n v="0.44158923783137"/>
    <x v="24"/>
    <x v="0"/>
    <x v="0"/>
    <n v="394.95156508158198"/>
    <n v="31.5906661582871"/>
    <n v="0.33"/>
    <n v="-0.183213206911221"/>
    <s v="—"/>
    <n v="-0.95243732516727297"/>
    <n v="43.5"/>
    <s v="North America"/>
    <n v="-12.100664138793951"/>
    <n v="-7.8"/>
    <n v="19584.671719372316"/>
    <n v="28903.027000000002"/>
  </r>
  <r>
    <x v="0"/>
    <x v="26"/>
    <n v="492.67563898942302"/>
    <n v="488.31683605418402"/>
    <n v="459.24290800804999"/>
    <x v="26"/>
    <n v="-0.49713964600914801"/>
    <x v="10"/>
    <s v="—"/>
    <n v="-0.36355178648025099"/>
    <x v="25"/>
    <x v="0"/>
    <x v="0"/>
    <n v="218"/>
    <n v="17"/>
    <n v="0.82"/>
    <n v="0.10237876093010299"/>
    <s v="—"/>
    <n v="0.25346078219023999"/>
    <n v="0"/>
    <s v="Europe"/>
    <n v="-10.64958572387695"/>
    <n v="-25.9"/>
    <n v="63741.704454882936"/>
    <n v="119584.16"/>
  </r>
  <r>
    <x v="0"/>
    <x v="27"/>
    <n v="479.07419338779698"/>
    <n v="504.12930481758099"/>
    <n v="500.85301088740101"/>
    <x v="27"/>
    <n v="5.4577280249479198E-3"/>
    <x v="1"/>
    <s v="—"/>
    <n v="8.2404014711555104E-2"/>
    <x v="26"/>
    <x v="0"/>
    <x v="0"/>
    <s v="—"/>
    <n v="15"/>
    <n v="0.84"/>
    <n v="-0.28784463039482699"/>
    <s v="—"/>
    <n v="0.219063599870888"/>
    <n v="0"/>
    <s v="Oceania"/>
    <n v="-10.37150287628174"/>
    <n v="-25.9"/>
    <n v="46990.180115357849"/>
    <n v="82261.005000000005"/>
  </r>
  <r>
    <x v="0"/>
    <x v="28"/>
    <n v="468.44994986357699"/>
    <n v="478.226464845544"/>
    <n v="476.52387797394402"/>
    <x v="28"/>
    <n v="-0.28237695997548701"/>
    <x v="11"/>
    <s v="—"/>
    <n v="-0.169663397770102"/>
    <x v="27"/>
    <x v="0"/>
    <x v="0"/>
    <s v="—"/>
    <s v="—"/>
    <s v="—"/>
    <n v="0.22577003632692999"/>
    <s v="—"/>
    <n v="0.52149711444767299"/>
    <n v="26.9"/>
    <s v="Europe"/>
    <n v="0.65984660387039185"/>
    <n v="-41.7"/>
    <n v="80534.610693381677"/>
    <n v="153335.4"/>
  </r>
  <r>
    <x v="0"/>
    <x v="29"/>
    <n v="488.96005358907399"/>
    <n v="499.16436195679103"/>
    <n v="488.71362897567002"/>
    <x v="29"/>
    <n v="-0.35296353095870298"/>
    <x v="12"/>
    <s v="—"/>
    <n v="-0.6856662357412"/>
    <x v="28"/>
    <x v="0"/>
    <x v="0"/>
    <n v="144.350075991642"/>
    <n v="10.371461313773899"/>
    <n v="0.88"/>
    <n v="-0.31210981528440201"/>
    <s v="—"/>
    <n v="-0.105140686411218"/>
    <n v="28.9"/>
    <s v="Europe"/>
    <n v="-5.5164599418640137"/>
    <n v="-28.6"/>
    <n v="38125.191470514459"/>
    <n v="87741.195999999996"/>
  </r>
  <r>
    <x v="0"/>
    <x v="30"/>
    <n v="471.91052213243501"/>
    <n v="484.37346402781498"/>
    <n v="476.58861115946502"/>
    <x v="30"/>
    <n v="-0.54735400650265498"/>
    <x v="13"/>
    <s v="—"/>
    <n v="0.32979577798994902"/>
    <x v="29"/>
    <x v="0"/>
    <x v="0"/>
    <n v="218.365035144801"/>
    <n v="10.4032975783991"/>
    <n v="0.8"/>
    <n v="8.4369594030458794E-2"/>
    <n v="3.3991304939115502E-4"/>
    <n v="-0.226355259918322"/>
    <n v="36.299999999999997"/>
    <s v="Europe"/>
    <n v="-10.649422645568849"/>
    <n v="-20.9"/>
    <n v="36037.957784434271"/>
    <n v="98982.971999999994"/>
  </r>
  <r>
    <x v="0"/>
    <x v="31"/>
    <n v="463.99461851406897"/>
    <n v="462.26948309170899"/>
    <n v="446.86060741273002"/>
    <x v="31"/>
    <n v="-0.29370872773352802"/>
    <x v="1"/>
    <s v="—"/>
    <n v="-0.20992051324147001"/>
    <x v="30"/>
    <x v="0"/>
    <x v="0"/>
    <n v="79.566723932180395"/>
    <n v="12.556962200757001"/>
    <n v="0.75"/>
    <n v="-0.20072176601361999"/>
    <s v="—"/>
    <n v="-0.30299666556108201"/>
    <s v="-"/>
    <s v="Europe"/>
    <n v="-1.3687562942504881"/>
    <n v="-29.6"/>
    <n v="33418.521834407547"/>
    <n v="75299.805999999997"/>
  </r>
  <r>
    <x v="0"/>
    <x v="32"/>
    <n v="484.52900869557101"/>
    <n v="499.96488259917601"/>
    <n v="468.536012818328"/>
    <x v="32"/>
    <n v="-0.42900457958579602"/>
    <x v="1"/>
    <s v="—"/>
    <n v="-0.41471932464012201"/>
    <x v="31"/>
    <x v="0"/>
    <x v="0"/>
    <n v="149.91696629272201"/>
    <n v="10.664504125689501"/>
    <n v="0.86"/>
    <n v="3.8575906094158799E-2"/>
    <s v="—"/>
    <n v="0.225808263077452"/>
    <n v="24.3"/>
    <s v="Europe"/>
    <n v="1.7013248205184941"/>
    <n v="-43.7"/>
    <n v="43804.816270256124"/>
    <n v="102335.925"/>
  </r>
  <r>
    <x v="0"/>
    <x v="33"/>
    <n v="473.14020809294499"/>
    <n v="484.53364839868601"/>
    <n v="474.30711244891199"/>
    <x v="33"/>
    <n v="-0.37901147314804501"/>
    <x v="14"/>
    <s v="—"/>
    <n v="6.1526505045296401E-2"/>
    <x v="32"/>
    <x v="0"/>
    <x v="0"/>
    <n v="91.038372013385597"/>
    <n v="11.5824140584409"/>
    <n v="0.87"/>
    <n v="0.272534564022751"/>
    <s v="—"/>
    <n v="-3.3199497248014603E-2"/>
    <n v="33.6"/>
    <s v="Europe"/>
    <n v="-10.14812660217285"/>
    <n v="-25.3"/>
    <n v="40591.75931734981"/>
    <n v="93094.233999999997"/>
  </r>
  <r>
    <x v="0"/>
    <x v="34"/>
    <n v="481.76606543002703"/>
    <n v="493.54931913375202"/>
    <n v="486.97515580614299"/>
    <x v="34"/>
    <n v="-0.26768245261281898"/>
    <x v="1"/>
    <s v="—"/>
    <n v="0.18966554337452199"/>
    <x v="33"/>
    <x v="0"/>
    <x v="0"/>
    <s v="—"/>
    <n v="12"/>
    <n v="0.81"/>
    <n v="8.8342877875343798E-2"/>
    <s v="—"/>
    <n v="0.32659102043782701"/>
    <n v="31.6"/>
    <s v="Europe"/>
    <n v="-2.1699213981628418"/>
    <n v="-36.700000000000003"/>
    <n v="59222.633648202114"/>
    <n v="133024.97"/>
  </r>
  <r>
    <x v="0"/>
    <x v="35"/>
    <n v="507.99058624683801"/>
    <n v="502.52324153909802"/>
    <n v="483.331733841465"/>
    <x v="35"/>
    <n v="-0.26478093626808302"/>
    <x v="1"/>
    <s v="—"/>
    <n v="-0.13"/>
    <x v="34"/>
    <x v="0"/>
    <x v="0"/>
    <n v="162"/>
    <n v="12"/>
    <n v="0.82"/>
    <n v="0.35725156988043499"/>
    <s v="—"/>
    <n v="0.16916674373572499"/>
    <n v="33.799999999999997"/>
    <s v="Europe"/>
    <n v="-10.881313323974609"/>
    <n v="-23.8"/>
    <n v="77120.555350817915"/>
    <m/>
  </r>
  <r>
    <x v="0"/>
    <x v="36"/>
    <n v="453.15176726255601"/>
    <n v="475.937802055769"/>
    <n v="456.08404067810699"/>
    <x v="36"/>
    <n v="-0.202325216460955"/>
    <x v="1"/>
    <s v="—"/>
    <n v="-0.24034949665415101"/>
    <x v="35"/>
    <x v="0"/>
    <x v="0"/>
    <n v="236.722285783453"/>
    <n v="14.1021762089799"/>
    <n v="0.86"/>
    <n v="-0.30048130703882397"/>
    <s v="—"/>
    <n v="-1.1854430482154501"/>
    <n v="44.5"/>
    <s v="Middle East"/>
    <n v="-5.7430505752563477"/>
    <n v="-24.8"/>
    <n v="30444.387708474656"/>
    <n v="46708.92"/>
  </r>
  <r>
    <x v="0"/>
    <x v="37"/>
    <n v="488.97508504425099"/>
    <n v="499.67021390132697"/>
    <n v="494.40462610659199"/>
    <x v="37"/>
    <n v="0"/>
    <x v="1"/>
    <s v="—"/>
    <n v="0.26"/>
    <x v="36"/>
    <x v="0"/>
    <x v="0"/>
    <n v="192"/>
    <n v="16"/>
    <n v="0.94"/>
    <n v="-0.21"/>
    <s v="—"/>
    <n v="0.14000000000000001"/>
    <n v="0"/>
    <s v="Europe"/>
    <n v="-14.36984157562256"/>
    <n v="-16.5"/>
    <n v="50809.569296403533"/>
    <n v="123983.36"/>
  </r>
  <r>
    <x v="0"/>
    <x v="38"/>
    <n v="464.88804296317699"/>
    <n v="499.41406386577802"/>
    <n v="503.93757347399901"/>
    <x v="38"/>
    <n v="-0.29922504549693402"/>
    <x v="15"/>
    <s v="—"/>
    <n v="0.25335469446404801"/>
    <x v="37"/>
    <x v="0"/>
    <x v="0"/>
    <n v="371"/>
    <n v="16"/>
    <n v="0.9"/>
    <n v="-0.26195708690722003"/>
    <s v="—"/>
    <n v="5.6162867360860201E-2"/>
    <n v="41.7"/>
    <s v="North America"/>
    <m/>
    <m/>
    <m/>
    <m/>
  </r>
  <r>
    <x v="1"/>
    <x v="0"/>
    <n v="486.99832203764601"/>
    <n v="486.74027430638699"/>
    <n v="485.48740625811502"/>
    <x v="39"/>
    <n v="4.1961023072096797E-3"/>
    <x v="1"/>
    <n v="3.01804340871515E-2"/>
    <s v="—"/>
    <x v="38"/>
    <x v="2"/>
    <x v="2"/>
    <n v="157.40845229019601"/>
    <n v="13.344505309555499"/>
    <n v="0.82"/>
    <n v="1.2954208933595699E-4"/>
    <s v="—"/>
    <s v="—"/>
    <s v="-"/>
    <s v="-"/>
    <m/>
    <m/>
    <m/>
    <m/>
  </r>
  <r>
    <x v="1"/>
    <x v="1"/>
    <n v="491.36002524732402"/>
    <n v="502.96456281136602"/>
    <n v="502.63172429646698"/>
    <x v="40"/>
    <n v="0.33"/>
    <x v="1"/>
    <s v="—"/>
    <s v="—"/>
    <x v="39"/>
    <x v="3"/>
    <x v="3"/>
    <n v="170.379979236308"/>
    <n v="13"/>
    <n v="0.94"/>
    <n v="-0.19"/>
    <s v="—"/>
    <s v="—"/>
    <n v="34.299999999999997"/>
    <s v="Oceania"/>
    <m/>
    <m/>
    <m/>
    <m/>
  </r>
  <r>
    <x v="1"/>
    <x v="2"/>
    <n v="498.94231377018502"/>
    <n v="489.78043922683503"/>
    <n v="484.39256846788697"/>
    <x v="41"/>
    <n v="-0.02"/>
    <x v="1"/>
    <s v="—"/>
    <s v="—"/>
    <x v="40"/>
    <x v="4"/>
    <x v="4"/>
    <n v="120.409299609455"/>
    <n v="10.896817907220999"/>
    <n v="0.85"/>
    <n v="0.39768398064012001"/>
    <s v="—"/>
    <s v="—"/>
    <n v="30.8"/>
    <s v="Europe"/>
    <m/>
    <m/>
    <m/>
    <m/>
  </r>
  <r>
    <x v="1"/>
    <x v="3"/>
    <n v="508.07030630262301"/>
    <n v="498.77312702853197"/>
    <n v="492.86443865136602"/>
    <x v="42"/>
    <n v="-0.11"/>
    <x v="1"/>
    <m/>
    <s v="—"/>
    <x v="41"/>
    <x v="5"/>
    <x v="5"/>
    <n v="136.67411018063399"/>
    <n v="9"/>
    <n v="0.84"/>
    <n v="6.0039668467452102E-2"/>
    <s v="—"/>
    <s v="—"/>
    <n v="27.2"/>
    <s v="Europe"/>
    <m/>
    <m/>
    <m/>
    <m/>
  </r>
  <r>
    <x v="1"/>
    <x v="4"/>
    <n v="512.01694292684499"/>
    <n v="517.99766085055001"/>
    <n v="520.08552094974402"/>
    <x v="43"/>
    <n v="0.14000000000000001"/>
    <x v="1"/>
    <s v="—"/>
    <s v="—"/>
    <x v="42"/>
    <x v="6"/>
    <x v="6"/>
    <n v="248.21595745502799"/>
    <s v="—"/>
    <n v="0.96"/>
    <n v="-0.17677131405156299"/>
    <s v="—"/>
    <s v="—"/>
    <n v="32.5"/>
    <s v="North America"/>
    <m/>
    <m/>
    <m/>
    <m/>
  </r>
  <r>
    <x v="1"/>
    <x v="5"/>
    <n v="417.40655630857901"/>
    <n v="443.58256338022699"/>
    <n v="452.27255418349699"/>
    <x v="44"/>
    <n v="0"/>
    <x v="1"/>
    <n v="8.7111665905437105E-3"/>
    <s v="—"/>
    <x v="43"/>
    <x v="7"/>
    <x v="7"/>
    <n v="132.947136565916"/>
    <n v="20"/>
    <n v="0.23"/>
    <n v="-0.1"/>
    <s v="—"/>
    <s v="—"/>
    <n v="0"/>
    <s v="South America"/>
    <m/>
    <m/>
    <m/>
    <m/>
  </r>
  <r>
    <x v="1"/>
    <x v="6"/>
    <n v="390.932273204875"/>
    <n v="413.32299257050897"/>
    <n v="412.29508499344502"/>
    <x v="45"/>
    <n v="0.18"/>
    <x v="1"/>
    <s v="—"/>
    <s v="—"/>
    <x v="4"/>
    <x v="8"/>
    <x v="8"/>
    <n v="114.715639380056"/>
    <n v="25.935432052469999"/>
    <n v="0.37"/>
    <n v="-0.17950645525783199"/>
    <s v="—"/>
    <s v="—"/>
    <s v="-"/>
    <s v="South America"/>
    <m/>
    <m/>
    <m/>
    <m/>
  </r>
  <r>
    <x v="1"/>
    <x v="7"/>
    <n v="402.33055853602298"/>
    <n v="415.62246204059102"/>
    <n v="426.49822500968099"/>
    <x v="46"/>
    <n v="-1.8390686952707999E-2"/>
    <x v="1"/>
    <s v="—"/>
    <s v="—"/>
    <x v="44"/>
    <x v="9"/>
    <x v="9"/>
    <n v="139.09388836394601"/>
    <n v="15.6568770974581"/>
    <n v="0.83"/>
    <n v="5.2525408526716597E-2"/>
    <s v="—"/>
    <s v="—"/>
    <s v="-"/>
    <s v="North America"/>
    <m/>
    <m/>
    <m/>
    <m/>
  </r>
  <r>
    <x v="1"/>
    <x v="8"/>
    <n v="499.467650822959"/>
    <n v="496.79131063200902"/>
    <n v="490.21881483645501"/>
    <x v="47"/>
    <n v="1.9483177872180801E-2"/>
    <x v="1"/>
    <s v="—"/>
    <s v="—"/>
    <x v="45"/>
    <x v="10"/>
    <x v="10"/>
    <n v="84.524638333134604"/>
    <n v="13.0625820708017"/>
    <n v="0.9"/>
    <n v="-0.28100475584636803"/>
    <s v="—"/>
    <s v="—"/>
    <n v="25"/>
    <s v="Europe"/>
    <m/>
    <m/>
    <m/>
    <m/>
  </r>
  <r>
    <x v="1"/>
    <x v="9"/>
    <n v="509.39837458427502"/>
    <n v="492.63703338438103"/>
    <n v="501.12993370997702"/>
    <x v="48"/>
    <n v="0.03"/>
    <x v="1"/>
    <s v="—"/>
    <s v="—"/>
    <x v="36"/>
    <x v="11"/>
    <x v="11"/>
    <n v="59.340675829101997"/>
    <n v="14"/>
    <m/>
    <n v="0.21309888980747399"/>
    <s v="—"/>
    <s v="—"/>
    <n v="28.2"/>
    <s v="Europe"/>
    <m/>
    <m/>
    <m/>
    <m/>
  </r>
  <r>
    <x v="1"/>
    <x v="10"/>
    <n v="523.41458018670903"/>
    <n v="530.10800457541802"/>
    <n v="523.01701836823804"/>
    <x v="49"/>
    <n v="7.7707738376580904E-2"/>
    <x v="1"/>
    <s v="—"/>
    <s v="—"/>
    <x v="46"/>
    <x v="12"/>
    <x v="12"/>
    <n v="56.6104625623747"/>
    <n v="12.3613140147762"/>
    <n v="0.81"/>
    <n v="-0.134357427795288"/>
    <s v="—"/>
    <s v="—"/>
    <n v="30.3"/>
    <s v="Europe"/>
    <m/>
    <m/>
    <m/>
    <m/>
  </r>
  <r>
    <x v="1"/>
    <x v="11"/>
    <n v="507.30136184441801"/>
    <n v="521.88456300128598"/>
    <n v="520.07874819168296"/>
    <x v="50"/>
    <n v="-3.0802343893210599E-2"/>
    <x v="1"/>
    <s v="—"/>
    <s v="—"/>
    <x v="47"/>
    <x v="13"/>
    <x v="13"/>
    <n v="111.218965464923"/>
    <n v="10.8694977470743"/>
    <n v="0.89"/>
    <n v="1.1989916861064801E-2"/>
    <s v="—"/>
    <s v="—"/>
    <n v="27.3"/>
    <s v="Europe"/>
    <m/>
    <m/>
    <m/>
    <m/>
  </r>
  <r>
    <x v="1"/>
    <x v="12"/>
    <n v="495.40757939134699"/>
    <n v="492.97707394731498"/>
    <n v="492.60647919679298"/>
    <x v="51"/>
    <n v="-0.08"/>
    <x v="1"/>
    <s v="—"/>
    <s v="—"/>
    <x v="4"/>
    <x v="14"/>
    <x v="14"/>
    <n v="283.05415643477897"/>
    <n v="12"/>
    <n v="0.75"/>
    <n v="-7.2355114459756606E-2"/>
    <s v="—"/>
    <s v="—"/>
    <n v="32.4"/>
    <s v="Europe"/>
    <m/>
    <m/>
    <m/>
    <m/>
  </r>
  <r>
    <x v="1"/>
    <x v="13"/>
    <n v="500.04378051165298"/>
    <n v="502.98890330361399"/>
    <n v="498.27925694649701"/>
    <x v="52"/>
    <m/>
    <x v="1"/>
    <m/>
    <s v="—"/>
    <x v="4"/>
    <x v="15"/>
    <x v="14"/>
    <n v="99.964345186409503"/>
    <n v="14"/>
    <n v="0.88"/>
    <n v="0.28000000000000003"/>
    <s v="—"/>
    <s v="—"/>
    <n v="31.9"/>
    <s v="Europe"/>
    <m/>
    <m/>
    <m/>
    <m/>
  </r>
  <r>
    <x v="1"/>
    <x v="14"/>
    <n v="451.37034380791101"/>
    <n v="451.63274156997102"/>
    <n v="457.41439476568701"/>
    <x v="53"/>
    <n v="0.01"/>
    <x v="1"/>
    <s v="—"/>
    <s v="—"/>
    <x v="48"/>
    <x v="16"/>
    <x v="15"/>
    <n v="92.092513040260897"/>
    <n v="9.5310551957553091"/>
    <n v="0.85"/>
    <n v="1.69386376344411E-2"/>
    <s v="—"/>
    <s v="—"/>
    <n v="32.9"/>
    <s v="Europe"/>
    <m/>
    <m/>
    <m/>
    <m/>
  </r>
  <r>
    <x v="1"/>
    <x v="15"/>
    <n v="481.08263635897498"/>
    <n v="480.91169390703999"/>
    <n v="475.98667224904398"/>
    <x v="54"/>
    <n v="-0.11"/>
    <x v="1"/>
    <s v="—"/>
    <s v="—"/>
    <x v="49"/>
    <x v="17"/>
    <x v="16"/>
    <n v="120.653700905394"/>
    <n v="10.642161715875099"/>
    <s v="—"/>
    <n v="7.4367446310312696E-2"/>
    <s v="—"/>
    <s v="—"/>
    <n v="0"/>
    <s v="Europe"/>
    <m/>
    <m/>
    <m/>
    <m/>
  </r>
  <r>
    <x v="1"/>
    <x v="16"/>
    <n v="495.18737622181999"/>
    <n v="475.024106315381"/>
    <n v="473.97431690660102"/>
    <x v="55"/>
    <n v="-0.19"/>
    <x v="1"/>
    <s v="—"/>
    <s v="—"/>
    <x v="50"/>
    <x v="18"/>
    <x v="17"/>
    <n v="59.806338296861703"/>
    <n v="10.612299926058199"/>
    <n v="0.85"/>
    <n v="9.9648812950784205E-2"/>
    <s v="—"/>
    <s v="—"/>
    <n v="26.6"/>
    <s v="Europe"/>
    <m/>
    <m/>
    <m/>
    <m/>
  </r>
  <r>
    <x v="1"/>
    <x v="17"/>
    <n v="499.63289396778703"/>
    <n v="496.11356166765"/>
    <n v="518.07845920921795"/>
    <x v="56"/>
    <n v="0.13"/>
    <x v="1"/>
    <n v="3.0936109296262299E-2"/>
    <s v="—"/>
    <x v="51"/>
    <x v="19"/>
    <x v="18"/>
    <n v="112.669492489842"/>
    <n v="12.7924833687152"/>
    <n v="0.96"/>
    <n v="-0.153260854388932"/>
    <s v="—"/>
    <s v="—"/>
    <n v="30.6"/>
    <s v="Europe"/>
    <m/>
    <m/>
    <m/>
    <m/>
  </r>
  <r>
    <x v="1"/>
    <x v="18"/>
    <n v="463.03454879840501"/>
    <n v="462.19663278425298"/>
    <n v="470.415177988484"/>
    <x v="57"/>
    <s v="—"/>
    <x v="1"/>
    <s v="—"/>
    <s v="—"/>
    <x v="36"/>
    <x v="11"/>
    <x v="19"/>
    <n v="172.29828161254599"/>
    <n v="11.630953354566101"/>
    <n v="0.6"/>
    <s v="—"/>
    <s v="—"/>
    <s v="—"/>
    <n v="38.6"/>
    <s v="Middle East"/>
    <m/>
    <m/>
    <m/>
    <m/>
  </r>
  <r>
    <x v="1"/>
    <x v="19"/>
    <n v="486.58985725929199"/>
    <n v="468.01172728913298"/>
    <n v="476.28467929067398"/>
    <x v="58"/>
    <n v="-7.0000000000000007E-2"/>
    <x v="1"/>
    <n v="1.7500349981281402E-2"/>
    <s v="—"/>
    <x v="4"/>
    <x v="20"/>
    <x v="20"/>
    <n v="198.19087009426201"/>
    <n v="9.3262749161698206"/>
    <n v="0.79"/>
    <n v="4.3556339967612601E-2"/>
    <s v="—"/>
    <s v="—"/>
    <n v="35.200000000000003"/>
    <s v="Europe"/>
    <m/>
    <m/>
    <m/>
    <m/>
  </r>
  <r>
    <x v="1"/>
    <x v="20"/>
    <n v="526.97325016916"/>
    <n v="529.13543338358704"/>
    <n v="503.85604095964402"/>
    <x v="59"/>
    <n v="-0.282819484068209"/>
    <x v="1"/>
    <s v="—"/>
    <s v="—"/>
    <x v="52"/>
    <x v="21"/>
    <x v="21"/>
    <n v="252.45777551506501"/>
    <n v="11.935319449597801"/>
    <n v="0.96"/>
    <n v="1.52247139691278E-2"/>
    <s v="—"/>
    <s v="—"/>
    <n v="32.9"/>
    <s v="Asia"/>
    <m/>
    <m/>
    <m/>
    <m/>
  </r>
  <r>
    <x v="1"/>
    <x v="21"/>
    <n v="525.93300203961599"/>
    <n v="519.00725485820703"/>
    <n v="514.05228824343806"/>
    <x v="60"/>
    <s v="—"/>
    <x v="1"/>
    <n v="-0.36921781899169198"/>
    <s v="—"/>
    <x v="53"/>
    <x v="22"/>
    <x v="22"/>
    <n v="241.67775102914501"/>
    <n v="13.4533090408981"/>
    <n v="0.95"/>
    <n v="0.27919698680934601"/>
    <s v="—"/>
    <s v="—"/>
    <s v="-"/>
    <s v="Asia"/>
    <m/>
    <m/>
    <m/>
    <m/>
  </r>
  <r>
    <x v="1"/>
    <x v="22"/>
    <n v="496.126330622544"/>
    <n v="487.25058821937"/>
    <n v="478.69867415764003"/>
    <x v="61"/>
    <n v="0.37125194957976398"/>
    <x v="1"/>
    <s v="—"/>
    <s v="—"/>
    <x v="54"/>
    <x v="23"/>
    <x v="23"/>
    <n v="52.442986694789099"/>
    <n v="10.9696734674193"/>
    <s v="—"/>
    <n v="-0.256660945197551"/>
    <s v="—"/>
    <s v="—"/>
    <n v="35.1"/>
    <s v="Europe"/>
    <m/>
    <m/>
    <m/>
    <m/>
  </r>
  <r>
    <x v="1"/>
    <x v="23"/>
    <n v="481.191188395501"/>
    <n v="482.067012707652"/>
    <n v="475.87347969004702"/>
    <x v="62"/>
    <n v="0.02"/>
    <x v="1"/>
    <s v="—"/>
    <s v="—"/>
    <x v="55"/>
    <x v="24"/>
    <x v="24"/>
    <n v="85.438817398833905"/>
    <n v="10.5026577382135"/>
    <n v="0.98"/>
    <n v="-0.13429312713608099"/>
    <s v="—"/>
    <s v="—"/>
    <n v="35.700000000000003"/>
    <s v="Europe"/>
    <m/>
    <m/>
    <m/>
    <m/>
  </r>
  <r>
    <x v="1"/>
    <x v="24"/>
    <n v="483.42148500786601"/>
    <n v="476.76940591543803"/>
    <n v="469.98538925379802"/>
    <x v="63"/>
    <n v="-4.4213409000036799E-2"/>
    <x v="1"/>
    <n v="0.15"/>
    <s v="—"/>
    <x v="56"/>
    <x v="25"/>
    <x v="25"/>
    <n v="256.67228724243301"/>
    <n v="9.3805896938119009"/>
    <n v="0.72"/>
    <n v="8.7199839348448799E-2"/>
    <s v="—"/>
    <s v="—"/>
    <n v="35.4"/>
    <s v="Europe"/>
    <m/>
    <m/>
    <m/>
    <m/>
  </r>
  <r>
    <x v="1"/>
    <x v="25"/>
    <n v="408.80147337531503"/>
    <n v="419.20471927474"/>
    <n v="420.46889230123099"/>
    <x v="64"/>
    <m/>
    <x v="1"/>
    <n v="-2.01089388966827E-2"/>
    <s v="—"/>
    <x v="57"/>
    <x v="26"/>
    <x v="26"/>
    <n v="402.286277568998"/>
    <n v="33.6575649719342"/>
    <n v="0.42"/>
    <n v="-0.02"/>
    <s v="—"/>
    <s v="—"/>
    <n v="46"/>
    <s v="North America"/>
    <m/>
    <m/>
    <m/>
    <m/>
  </r>
  <r>
    <x v="1"/>
    <x v="26"/>
    <n v="519.23098239301703"/>
    <n v="503.383819429651"/>
    <n v="484.78372510872703"/>
    <x v="65"/>
    <n v="-0.3"/>
    <x v="1"/>
    <s v="—"/>
    <s v="—"/>
    <x v="58"/>
    <x v="27"/>
    <x v="27"/>
    <n v="233.59374634159201"/>
    <n v="17.419712875936501"/>
    <n v="0.86"/>
    <n v="0.2"/>
    <s v="—"/>
    <s v="—"/>
    <n v="28.1"/>
    <s v="Europe"/>
    <m/>
    <m/>
    <m/>
    <m/>
  </r>
  <r>
    <x v="1"/>
    <x v="27"/>
    <n v="494.48967597553002"/>
    <n v="508.49072143894603"/>
    <n v="505.72728341639299"/>
    <x v="66"/>
    <n v="0.4"/>
    <x v="1"/>
    <s v="—"/>
    <s v="—"/>
    <x v="59"/>
    <x v="28"/>
    <x v="28"/>
    <s v="—"/>
    <n v="14.3619950006841"/>
    <n v="0.84"/>
    <n v="-0.211548293759172"/>
    <s v="—"/>
    <s v="—"/>
    <n v="0"/>
    <s v="Oceania"/>
    <m/>
    <m/>
    <m/>
    <m/>
  </r>
  <r>
    <x v="1"/>
    <x v="28"/>
    <n v="500.96378846276201"/>
    <n v="490.413149379895"/>
    <n v="499.45095625260598"/>
    <x v="67"/>
    <n v="-0.12977305859284199"/>
    <x v="1"/>
    <s v="—"/>
    <s v="—"/>
    <x v="60"/>
    <x v="29"/>
    <x v="29"/>
    <s v="—"/>
    <s v="—"/>
    <s v="—"/>
    <n v="0.36308951027664799"/>
    <s v="—"/>
    <s v="—"/>
    <n v="27.6"/>
    <s v="Europe"/>
    <m/>
    <m/>
    <m/>
    <m/>
  </r>
  <r>
    <x v="1"/>
    <x v="29"/>
    <n v="515.647874653798"/>
    <n v="511.03556192996399"/>
    <n v="511.85569538941098"/>
    <x v="68"/>
    <n v="7.0508882631828598E-2"/>
    <x v="1"/>
    <s v="—"/>
    <s v="—"/>
    <x v="61"/>
    <x v="30"/>
    <x v="30"/>
    <n v="86.2060834715748"/>
    <n v="8.0833072245588493"/>
    <n v="0.85"/>
    <n v="-0.24306037047125401"/>
    <s v="—"/>
    <s v="—"/>
    <n v="30.2"/>
    <s v="Europe"/>
    <m/>
    <m/>
    <m/>
    <m/>
  </r>
  <r>
    <x v="1"/>
    <x v="30"/>
    <n v="492.487406151968"/>
    <n v="491.67732849961197"/>
    <n v="491.80078514823902"/>
    <x v="69"/>
    <n v="-0.25"/>
    <x v="1"/>
    <n v="0.39159936631306602"/>
    <s v="—"/>
    <x v="62"/>
    <x v="31"/>
    <x v="31"/>
    <n v="221.72931015884001"/>
    <n v="10.398394895542699"/>
    <n v="0.82"/>
    <n v="0.124690237852842"/>
    <s v="—"/>
    <s v="—"/>
    <n v="33.5"/>
    <s v="Europe"/>
    <m/>
    <m/>
    <m/>
    <m/>
  </r>
  <r>
    <x v="1"/>
    <x v="31"/>
    <n v="486.16485422120797"/>
    <n v="464.047578171596"/>
    <n v="457.98396699154802"/>
    <x v="70"/>
    <n v="0.08"/>
    <x v="1"/>
    <s v="—"/>
    <s v="—"/>
    <x v="4"/>
    <x v="32"/>
    <x v="32"/>
    <n v="78.268613647575094"/>
    <n v="12.8804666761256"/>
    <n v="0.87"/>
    <n v="-0.28267670943871798"/>
    <s v="—"/>
    <s v="—"/>
    <s v="-"/>
    <s v="Europe"/>
    <m/>
    <m/>
    <m/>
    <m/>
  </r>
  <r>
    <x v="1"/>
    <x v="32"/>
    <n v="508.89754406909998"/>
    <n v="507.00654589979303"/>
    <n v="495.34561516068999"/>
    <x v="71"/>
    <n v="-0.11"/>
    <x v="1"/>
    <s v="—"/>
    <s v="—"/>
    <x v="63"/>
    <x v="33"/>
    <x v="33"/>
    <n v="130.66040644448299"/>
    <n v="8.8226836205156207"/>
    <n v="0.88"/>
    <n v="-0.10541338904946"/>
    <s v="—"/>
    <s v="—"/>
    <n v="24.6"/>
    <s v="Europe"/>
    <m/>
    <m/>
    <m/>
    <m/>
  </r>
  <r>
    <x v="1"/>
    <x v="33"/>
    <n v="481.39261258441798"/>
    <n v="483.25204266083398"/>
    <s v="—"/>
    <x v="72"/>
    <n v="-0.21"/>
    <x v="1"/>
    <s v="—"/>
    <s v="—"/>
    <x v="4"/>
    <x v="34"/>
    <x v="34"/>
    <n v="81.268239002922101"/>
    <n v="11.984157907839"/>
    <n v="0.92"/>
    <n v="0.46335925525819699"/>
    <s v="—"/>
    <s v="—"/>
    <n v="34.700000000000003"/>
    <s v="Europe"/>
    <m/>
    <m/>
    <m/>
    <m/>
  </r>
  <r>
    <x v="1"/>
    <x v="34"/>
    <n v="502.38770215454201"/>
    <n v="499.44469009078301"/>
    <n v="505.78522048463202"/>
    <x v="73"/>
    <n v="-0.120031945327377"/>
    <x v="1"/>
    <s v="—"/>
    <s v="—"/>
    <x v="64"/>
    <x v="35"/>
    <x v="35"/>
    <s v="—"/>
    <n v="11.910666318272201"/>
    <n v="0.79"/>
    <n v="3.1444563882453098E-2"/>
    <s v="—"/>
    <s v="—"/>
    <n v="30"/>
    <s v="Europe"/>
    <m/>
    <m/>
    <m/>
    <m/>
  </r>
  <r>
    <x v="1"/>
    <x v="35"/>
    <n v="515.31471310951599"/>
    <n v="495.27628790703898"/>
    <n v="483.929405173948"/>
    <x v="74"/>
    <n v="0"/>
    <x v="1"/>
    <s v="—"/>
    <s v="—"/>
    <x v="4"/>
    <x v="32"/>
    <x v="32"/>
    <n v="144.59364403740599"/>
    <n v="12.9435282331808"/>
    <n v="0.84"/>
    <n v="0.29679820657262501"/>
    <s v="—"/>
    <s v="—"/>
    <n v="33.1"/>
    <s v="Europe"/>
    <m/>
    <m/>
    <m/>
    <m/>
  </r>
  <r>
    <x v="1"/>
    <x v="36"/>
    <n v="453.50777743499202"/>
    <n v="468.29961800713102"/>
    <n v="465.63166568819503"/>
    <x v="75"/>
    <n v="-4.7951930391868597E-2"/>
    <x v="1"/>
    <s v="—"/>
    <s v="—"/>
    <x v="65"/>
    <x v="36"/>
    <x v="36"/>
    <n v="171.87157357356099"/>
    <n v="13.4526563537647"/>
    <n v="0.85"/>
    <n v="-0.135908067075803"/>
    <s v="—"/>
    <s v="—"/>
    <n v="42.4"/>
    <s v="Middle East"/>
    <m/>
    <m/>
    <m/>
    <m/>
  </r>
  <r>
    <x v="1"/>
    <x v="37"/>
    <n v="501.76989918504597"/>
    <n v="504.66747364428699"/>
    <n v="503.92810939577998"/>
    <x v="76"/>
    <n v="0.240869947713578"/>
    <x v="1"/>
    <s v="—"/>
    <s v="—"/>
    <x v="66"/>
    <x v="37"/>
    <x v="37"/>
    <n v="178.62371754217199"/>
    <n v="15"/>
    <n v="0.96"/>
    <n v="-0.19135250626490199"/>
    <s v="—"/>
    <s v="—"/>
    <n v="33.700000000000003"/>
    <s v="Europe"/>
    <m/>
    <m/>
    <m/>
    <m/>
  </r>
  <r>
    <x v="1"/>
    <x v="38"/>
    <n v="478.24471737264298"/>
    <n v="502.38003193814097"/>
    <n v="505.35277052284999"/>
    <x v="77"/>
    <n v="0.153372559006447"/>
    <x v="1"/>
    <s v="—"/>
    <s v="—"/>
    <x v="67"/>
    <x v="38"/>
    <x v="38"/>
    <n v="378.64414944622001"/>
    <n v="17"/>
    <n v="0.93"/>
    <n v="-0.23639556857531899"/>
    <s v="—"/>
    <s v="—"/>
    <n v="41.8"/>
    <s v="North America"/>
    <m/>
    <m/>
    <m/>
    <m/>
  </r>
  <r>
    <x v="2"/>
    <x v="0"/>
    <n v="484.879396687145"/>
    <n v="488.75804450511498"/>
    <n v="488.526608059051"/>
    <x v="78"/>
    <s v="—"/>
    <x v="1"/>
    <n v="3.4115074932765402E-2"/>
    <s v="—"/>
    <x v="68"/>
    <x v="39"/>
    <x v="39"/>
    <n v="162.100527402788"/>
    <n v="13.492871280163399"/>
    <n v="0.83"/>
    <n v="-4.2888589248537496E-3"/>
    <s v="—"/>
    <s v="—"/>
    <s v="-"/>
    <s v="-"/>
    <m/>
    <m/>
    <m/>
    <m/>
  </r>
  <r>
    <x v="2"/>
    <x v="1"/>
    <n v="493.89623127583502"/>
    <n v="509.99385420925103"/>
    <n v="502.90055980855902"/>
    <x v="79"/>
    <s v="—"/>
    <x v="1"/>
    <s v="—"/>
    <s v="—"/>
    <x v="69"/>
    <x v="40"/>
    <x v="40"/>
    <n v="173.48078665969001"/>
    <n v="13.135529194969401"/>
    <n v="0.95"/>
    <n v="-0.12495262989150401"/>
    <s v="—"/>
    <s v="—"/>
    <n v="0"/>
    <s v="Oceania"/>
    <m/>
    <m/>
    <m/>
    <m/>
  </r>
  <r>
    <x v="2"/>
    <x v="2"/>
    <n v="496.74227394757099"/>
    <n v="495.03748637970602"/>
    <n v="484.865597140278"/>
    <x v="80"/>
    <s v="—"/>
    <x v="1"/>
    <s v="—"/>
    <s v="—"/>
    <x v="70"/>
    <x v="41"/>
    <x v="41"/>
    <n v="135.57480241790901"/>
    <n v="11.731096198391199"/>
    <n v="0.84"/>
    <n v="0.44256877658347499"/>
    <s v="—"/>
    <s v="—"/>
    <n v="30.5"/>
    <s v="Europe"/>
    <m/>
    <m/>
    <m/>
    <m/>
  </r>
  <r>
    <x v="2"/>
    <x v="3"/>
    <n v="506.98436237796602"/>
    <n v="501.99971368116599"/>
    <n v="498.52418918572801"/>
    <x v="81"/>
    <s v="—"/>
    <x v="1"/>
    <m/>
    <s v="—"/>
    <x v="71"/>
    <x v="42"/>
    <x v="42"/>
    <n v="129.32791333465801"/>
    <n v="9.1205820251299006"/>
    <n v="0.85"/>
    <n v="1.3958726711530299E-2"/>
    <s v="—"/>
    <s v="—"/>
    <n v="27.7"/>
    <s v="Europe"/>
    <m/>
    <m/>
    <m/>
    <m/>
  </r>
  <r>
    <x v="2"/>
    <x v="4"/>
    <n v="515.64742796862197"/>
    <n v="527.70468418283303"/>
    <n v="526.66780542068796"/>
    <x v="82"/>
    <s v="—"/>
    <x v="1"/>
    <s v="—"/>
    <s v="—"/>
    <x v="72"/>
    <x v="43"/>
    <x v="43"/>
    <n v="226.53325202494301"/>
    <n v="15.9418741201501"/>
    <n v="0.95"/>
    <n v="-0.11249825925669001"/>
    <s v="—"/>
    <s v="—"/>
    <n v="33.700000000000003"/>
    <s v="North America"/>
    <m/>
    <m/>
    <m/>
    <m/>
  </r>
  <r>
    <x v="2"/>
    <x v="5"/>
    <n v="422.67135789264699"/>
    <n v="446.95606636417398"/>
    <n v="458.57087611457803"/>
    <x v="83"/>
    <s v="—"/>
    <x v="1"/>
    <n v="0.206174533596967"/>
    <s v="—"/>
    <x v="73"/>
    <x v="44"/>
    <x v="44"/>
    <n v="140.127213338085"/>
    <n v="20.7428589336347"/>
    <n v="0.21"/>
    <n v="-3.5440094342720101E-2"/>
    <s v="—"/>
    <s v="—"/>
    <n v="45.3"/>
    <s v="South America"/>
    <m/>
    <m/>
    <m/>
    <m/>
  </r>
  <r>
    <x v="2"/>
    <x v="6"/>
    <n v="389.64382784956803"/>
    <n v="415.728760576794"/>
    <n v="424.90516701641701"/>
    <x v="84"/>
    <s v="—"/>
    <x v="1"/>
    <s v="—"/>
    <s v="—"/>
    <x v="74"/>
    <x v="45"/>
    <x v="45"/>
    <n v="113.061395469128"/>
    <n v="28.450774008012999"/>
    <n v="0.1"/>
    <n v="-0.30931833591403601"/>
    <s v="—"/>
    <s v="—"/>
    <s v="-"/>
    <s v="South America"/>
    <m/>
    <m/>
    <m/>
    <m/>
  </r>
  <r>
    <x v="2"/>
    <x v="7"/>
    <n v="400.25337289933998"/>
    <n v="419.608033064258"/>
    <n v="427.48754820691403"/>
    <x v="85"/>
    <s v="—"/>
    <x v="1"/>
    <s v="—"/>
    <s v="—"/>
    <x v="75"/>
    <x v="46"/>
    <x v="46"/>
    <n v="144.428814620461"/>
    <n v="16.934701932263302"/>
    <n v="0.88"/>
    <n v="-0.15763545077526001"/>
    <s v="—"/>
    <s v="—"/>
    <s v="-"/>
    <s v="North America"/>
    <m/>
    <m/>
    <m/>
    <m/>
  </r>
  <r>
    <x v="2"/>
    <x v="8"/>
    <n v="492.32543802363699"/>
    <n v="492.83004832869398"/>
    <n v="487.25014126560899"/>
    <x v="86"/>
    <s v="—"/>
    <x v="1"/>
    <s v="—"/>
    <s v="—"/>
    <x v="76"/>
    <x v="47"/>
    <x v="47"/>
    <n v="77.795186112221998"/>
    <n v="13.3375635113683"/>
    <n v="0.93"/>
    <n v="-0.24638287230953099"/>
    <s v="—"/>
    <s v="—"/>
    <n v="25.9"/>
    <s v="Europe"/>
    <m/>
    <m/>
    <m/>
    <m/>
  </r>
  <r>
    <x v="2"/>
    <x v="9"/>
    <n v="511.08763183479101"/>
    <n v="501.936886977413"/>
    <n v="499.81458410251298"/>
    <x v="87"/>
    <s v="—"/>
    <x v="1"/>
    <s v="—"/>
    <s v="—"/>
    <x v="77"/>
    <x v="48"/>
    <x v="48"/>
    <n v="59.562245727858397"/>
    <n v="12.7202223436623"/>
    <s v="—"/>
    <n v="0.14176352585527599"/>
    <s v="—"/>
    <s v="—"/>
    <n v="28.2"/>
    <s v="Europe"/>
    <m/>
    <m/>
    <m/>
    <m/>
  </r>
  <r>
    <x v="2"/>
    <x v="10"/>
    <n v="519.52913230813999"/>
    <n v="534.19374207720296"/>
    <n v="519.14285500090102"/>
    <x v="88"/>
    <s v="—"/>
    <x v="1"/>
    <s v="—"/>
    <s v="—"/>
    <x v="78"/>
    <x v="49"/>
    <x v="49"/>
    <n v="53.3142063654672"/>
    <n v="11.8804799529146"/>
    <n v="0.89"/>
    <n v="-6.2700866025942006E-2"/>
    <s v="—"/>
    <s v="—"/>
    <n v="32.700000000000003"/>
    <s v="Europe"/>
    <m/>
    <m/>
    <m/>
    <m/>
  </r>
  <r>
    <x v="2"/>
    <x v="11"/>
    <n v="511.076852960152"/>
    <n v="530.66115886094599"/>
    <n v="526.42474708611996"/>
    <x v="89"/>
    <s v="—"/>
    <x v="1"/>
    <s v="—"/>
    <s v="—"/>
    <x v="79"/>
    <x v="50"/>
    <x v="50"/>
    <n v="111.13639726099299"/>
    <n v="10.297194423126999"/>
    <n v="0.93"/>
    <n v="9.1093825672071804E-2"/>
    <s v="—"/>
    <s v="—"/>
    <n v="27.1"/>
    <s v="Europe"/>
    <m/>
    <m/>
    <m/>
    <m/>
  </r>
  <r>
    <x v="2"/>
    <x v="12"/>
    <n v="492.92040179419001"/>
    <n v="494.97760037200499"/>
    <n v="499.30614190209502"/>
    <x v="90"/>
    <s v="—"/>
    <x v="1"/>
    <n v="-5.2441179406361303E-2"/>
    <s v="—"/>
    <x v="80"/>
    <x v="51"/>
    <x v="51"/>
    <n v="253.18383062271599"/>
    <n v="12.340552005607501"/>
    <n v="0.78"/>
    <n v="-5.9411392633774297E-2"/>
    <s v="—"/>
    <s v="—"/>
    <n v="32.700000000000003"/>
    <s v="Europe"/>
    <m/>
    <m/>
    <m/>
    <m/>
  </r>
  <r>
    <x v="2"/>
    <x v="13"/>
    <n v="505.971282413447"/>
    <n v="509.14064717477999"/>
    <n v="509.10413866880702"/>
    <x v="91"/>
    <s v="—"/>
    <x v="1"/>
    <n v="8.9575858730718702E-2"/>
    <s v="—"/>
    <x v="81"/>
    <x v="52"/>
    <x v="52"/>
    <n v="105.888705878951"/>
    <n v="14.666389690688201"/>
    <n v="0.88"/>
    <n v="0.28791762126030102"/>
    <s v="—"/>
    <s v="—"/>
    <n v="31.7"/>
    <s v="Europe"/>
    <m/>
    <m/>
    <m/>
    <m/>
  </r>
  <r>
    <x v="2"/>
    <x v="14"/>
    <n v="453.62985069574103"/>
    <n v="454.82881659483502"/>
    <n v="467.03953791180999"/>
    <x v="92"/>
    <s v="—"/>
    <x v="1"/>
    <s v="—"/>
    <s v="—"/>
    <x v="82"/>
    <x v="53"/>
    <x v="53"/>
    <n v="90.7088275942763"/>
    <n v="9.5831049124683005"/>
    <n v="0.87"/>
    <n v="0.100258991275799"/>
    <s v="—"/>
    <s v="—"/>
    <n v="36"/>
    <s v="Europe"/>
    <m/>
    <m/>
    <m/>
    <m/>
  </r>
  <r>
    <x v="2"/>
    <x v="15"/>
    <n v="476.830880844202"/>
    <n v="476.74751240428702"/>
    <n v="469.523257871731"/>
    <x v="93"/>
    <s v="—"/>
    <x v="1"/>
    <s v="—"/>
    <s v="—"/>
    <x v="83"/>
    <x v="54"/>
    <x v="54"/>
    <n v="108.11343873188299"/>
    <n v="9.8596896637800793"/>
    <s v="—"/>
    <n v="6.0062884217977203E-2"/>
    <s v="—"/>
    <s v="—"/>
    <n v="30.4"/>
    <s v="Europe"/>
    <m/>
    <m/>
    <m/>
    <m/>
  </r>
  <r>
    <x v="2"/>
    <x v="16"/>
    <n v="488.03318437567901"/>
    <n v="473.23008619733201"/>
    <n v="481.52554099327199"/>
    <x v="94"/>
    <s v="—"/>
    <x v="1"/>
    <s v="—"/>
    <s v="—"/>
    <x v="84"/>
    <x v="55"/>
    <x v="55"/>
    <n v="56.050827243332897"/>
    <n v="9.9121137472618503"/>
    <n v="0.86"/>
    <n v="0.19424909705981699"/>
    <s v="—"/>
    <s v="—"/>
    <n v="26.8"/>
    <s v="Europe"/>
    <m/>
    <m/>
    <m/>
    <m/>
  </r>
  <r>
    <x v="2"/>
    <x v="17"/>
    <n v="503.72199741628901"/>
    <n v="502.57511548882098"/>
    <n v="520.81484125269299"/>
    <x v="95"/>
    <s v="—"/>
    <x v="1"/>
    <n v="-0.159968047472618"/>
    <s v="—"/>
    <x v="85"/>
    <x v="56"/>
    <x v="56"/>
    <n v="110.69645714322399"/>
    <n v="14.447486101259701"/>
    <n v="0.98"/>
    <n v="-1.51040341607138E-2"/>
    <s v="—"/>
    <s v="—"/>
    <n v="31.8"/>
    <s v="Europe"/>
    <m/>
    <m/>
    <m/>
    <m/>
  </r>
  <r>
    <x v="2"/>
    <x v="18"/>
    <n v="469.66945406512002"/>
    <n v="466.55281218923"/>
    <n v="478.96064266007699"/>
    <x v="96"/>
    <s v="—"/>
    <x v="1"/>
    <s v="—"/>
    <s v="—"/>
    <x v="86"/>
    <x v="57"/>
    <x v="57"/>
    <n v="169.29025535789299"/>
    <n v="11.5558128867264"/>
    <n v="0.74"/>
    <s v="—"/>
    <s v="—"/>
    <s v="—"/>
    <n v="39.700000000000003"/>
    <s v="Middle East"/>
    <m/>
    <m/>
    <m/>
    <m/>
  </r>
  <r>
    <x v="2"/>
    <x v="19"/>
    <n v="489.72873084112098"/>
    <n v="480.54676241081899"/>
    <n v="484.75799607622002"/>
    <x v="97"/>
    <s v="—"/>
    <x v="1"/>
    <n v="0.23481033095541401"/>
    <s v="—"/>
    <x v="87"/>
    <x v="58"/>
    <x v="58"/>
    <n v="185.88588780725601"/>
    <n v="10.495094223167801"/>
    <n v="0.88"/>
    <n v="5.2222952900757298E-2"/>
    <s v="—"/>
    <s v="—"/>
    <n v="35.4"/>
    <s v="Europe"/>
    <m/>
    <m/>
    <m/>
    <m/>
  </r>
  <r>
    <x v="2"/>
    <x v="20"/>
    <n v="532.43987221639497"/>
    <n v="538.39475105449196"/>
    <n v="515.958479907217"/>
    <x v="98"/>
    <s v="—"/>
    <x v="1"/>
    <s v="—"/>
    <s v="—"/>
    <x v="88"/>
    <x v="59"/>
    <x v="59"/>
    <n v="259.616930434712"/>
    <n v="11.5192729469158"/>
    <n v="0.97"/>
    <n v="-3.3182288945748803E-2"/>
    <s v="—"/>
    <s v="—"/>
    <n v="30.7"/>
    <s v="Asia"/>
    <m/>
    <m/>
    <m/>
    <m/>
  </r>
  <r>
    <x v="2"/>
    <x v="21"/>
    <n v="524.10621634915196"/>
    <n v="515.80991152695105"/>
    <n v="517.436709705064"/>
    <x v="99"/>
    <s v="—"/>
    <x v="1"/>
    <n v="-0.56871166626856995"/>
    <s v="—"/>
    <x v="89"/>
    <x v="60"/>
    <x v="60"/>
    <n v="321.06081689278199"/>
    <n v="15.0869071081211"/>
    <n v="0.95"/>
    <n v="0.15950222746079901"/>
    <s v="—"/>
    <s v="—"/>
    <s v="-"/>
    <s v="Asia"/>
    <m/>
    <m/>
    <m/>
    <m/>
  </r>
  <r>
    <x v="2"/>
    <x v="22"/>
    <n v="482.30507170027403"/>
    <n v="490.22501836099002"/>
    <n v="487.758098543551"/>
    <x v="100"/>
    <s v="—"/>
    <x v="1"/>
    <s v="—"/>
    <s v="—"/>
    <x v="90"/>
    <x v="61"/>
    <x v="61"/>
    <n v="40.867231949013899"/>
    <n v="10.089051007119799"/>
    <n v="0.65"/>
    <n v="-0.20130719085450199"/>
    <s v="—"/>
    <s v="—"/>
    <n v="34.200000000000003"/>
    <s v="Europe"/>
    <m/>
    <m/>
    <m/>
    <m/>
  </r>
  <r>
    <x v="2"/>
    <x v="23"/>
    <n v="478.38338181624698"/>
    <n v="475.40894649576802"/>
    <n v="472.406552219942"/>
    <x v="101"/>
    <s v="—"/>
    <x v="1"/>
    <s v="—"/>
    <s v="—"/>
    <x v="91"/>
    <x v="62"/>
    <x v="62"/>
    <n v="91.112042872456499"/>
    <n v="10.3921661360645"/>
    <n v="0.99"/>
    <n v="-0.26798720344711202"/>
    <s v="—"/>
    <s v="—"/>
    <n v="37.4"/>
    <s v="Europe"/>
    <m/>
    <m/>
    <m/>
    <m/>
  </r>
  <r>
    <x v="2"/>
    <x v="24"/>
    <n v="485.77062816150499"/>
    <n v="482.80638360150903"/>
    <n v="481.43909729990798"/>
    <x v="102"/>
    <s v="—"/>
    <x v="1"/>
    <n v="8.8479764160069099E-2"/>
    <s v="—"/>
    <x v="92"/>
    <x v="63"/>
    <x v="63"/>
    <n v="250.328249850568"/>
    <n v="9.6602464780146207"/>
    <n v="0.72"/>
    <n v="0.13697832147231101"/>
    <s v="—"/>
    <s v="—"/>
    <n v="32.9"/>
    <s v="Europe"/>
    <m/>
    <m/>
    <m/>
    <m/>
  </r>
  <r>
    <x v="2"/>
    <x v="25"/>
    <n v="408.02347764199698"/>
    <n v="415.70988290835601"/>
    <n v="423.27647921834301"/>
    <x v="103"/>
    <s v="—"/>
    <x v="1"/>
    <n v="1.3497518830767E-2"/>
    <s v="—"/>
    <x v="93"/>
    <x v="64"/>
    <x v="64"/>
    <n v="364.47644411664101"/>
    <n v="28.495863717795299"/>
    <n v="0.35"/>
    <n v="-0.144373991312991"/>
    <s v="—"/>
    <s v="—"/>
    <n v="0"/>
    <s v="North America"/>
    <m/>
    <m/>
    <m/>
    <m/>
  </r>
  <r>
    <x v="2"/>
    <x v="26"/>
    <n v="512.25278984946397"/>
    <n v="508.57480607192798"/>
    <n v="502.95905117365498"/>
    <x v="104"/>
    <s v="—"/>
    <x v="1"/>
    <s v="—"/>
    <s v="—"/>
    <x v="94"/>
    <x v="65"/>
    <x v="65"/>
    <n v="219.10451436890699"/>
    <n v="20.3783371893877"/>
    <n v="0.81"/>
    <n v="0.166226859714348"/>
    <s v="—"/>
    <s v="—"/>
    <n v="28.2"/>
    <s v="Europe"/>
    <m/>
    <m/>
    <m/>
    <m/>
  </r>
  <r>
    <x v="2"/>
    <x v="27"/>
    <n v="495.22325640525003"/>
    <n v="513.30351222524405"/>
    <n v="509.27071261803002"/>
    <x v="105"/>
    <s v="—"/>
    <x v="1"/>
    <s v="—"/>
    <s v="—"/>
    <x v="95"/>
    <x v="66"/>
    <x v="66"/>
    <s v="—"/>
    <n v="14.5967612821436"/>
    <n v="0.9"/>
    <n v="-0.168414289389721"/>
    <s v="—"/>
    <s v="—"/>
    <n v="0"/>
    <s v="Oceania"/>
    <m/>
    <m/>
    <m/>
    <m/>
  </r>
  <r>
    <x v="2"/>
    <x v="28"/>
    <n v="501.72981494419702"/>
    <n v="498.48110908611397"/>
    <n v="513.19117283773505"/>
    <x v="106"/>
    <s v="—"/>
    <x v="1"/>
    <s v="—"/>
    <s v="—"/>
    <x v="96"/>
    <x v="67"/>
    <x v="67"/>
    <n v="100.82384265468001"/>
    <n v="10.2109504778829"/>
    <n v="0.84"/>
    <n v="0.210412850292055"/>
    <s v="—"/>
    <s v="—"/>
    <n v="27.5"/>
    <s v="Europe"/>
    <m/>
    <m/>
    <m/>
    <m/>
  </r>
  <r>
    <x v="2"/>
    <x v="29"/>
    <n v="504.46925137393799"/>
    <n v="501.43533182058002"/>
    <n v="505.697070414596"/>
    <x v="107"/>
    <s v="—"/>
    <x v="1"/>
    <s v="—"/>
    <s v="—"/>
    <x v="97"/>
    <x v="68"/>
    <x v="68"/>
    <n v="87.526282263947195"/>
    <n v="8.6892378049015697"/>
    <n v="0.95"/>
    <n v="-0.25241081607904697"/>
    <s v="—"/>
    <s v="—"/>
    <n v="31.8"/>
    <s v="Europe"/>
    <m/>
    <m/>
    <m/>
    <m/>
  </r>
  <r>
    <x v="2"/>
    <x v="30"/>
    <n v="491.62696786043801"/>
    <n v="501.10006223380498"/>
    <n v="498.12890562716899"/>
    <x v="108"/>
    <s v="—"/>
    <x v="1"/>
    <n v="0.29451853887128498"/>
    <s v="—"/>
    <x v="98"/>
    <x v="69"/>
    <x v="69"/>
    <n v="227.10015287101399"/>
    <n v="11.0134153446547"/>
    <n v="0.92"/>
    <n v="0.103803920573678"/>
    <s v="—"/>
    <s v="—"/>
    <n v="35.5"/>
    <s v="Europe"/>
    <m/>
    <m/>
    <m/>
    <m/>
  </r>
  <r>
    <x v="2"/>
    <x v="31"/>
    <n v="475.230105289991"/>
    <n v="460.77485582643698"/>
    <n v="452.51433687693998"/>
    <x v="109"/>
    <s v="—"/>
    <x v="1"/>
    <s v="—"/>
    <s v="—"/>
    <x v="99"/>
    <x v="70"/>
    <x v="70"/>
    <n v="80.077571786246494"/>
    <n v="12.6090999189638"/>
    <n v="0.92"/>
    <n v="-0.278124501035585"/>
    <s v="—"/>
    <s v="—"/>
    <s v="-"/>
    <s v="Europe"/>
    <m/>
    <m/>
    <m/>
    <m/>
  </r>
  <r>
    <x v="2"/>
    <x v="32"/>
    <n v="509.919632114553"/>
    <n v="512.86357860040903"/>
    <n v="505.215880573471"/>
    <x v="110"/>
    <s v="—"/>
    <x v="1"/>
    <s v="—"/>
    <s v="—"/>
    <x v="100"/>
    <x v="71"/>
    <x v="71"/>
    <n v="145.29012729111699"/>
    <n v="10.770321052776"/>
    <n v="0.97"/>
    <n v="-9.7579664997918605E-2"/>
    <s v="—"/>
    <s v="—"/>
    <n v="25.4"/>
    <s v="Europe"/>
    <m/>
    <m/>
    <m/>
    <m/>
  </r>
  <r>
    <x v="2"/>
    <x v="33"/>
    <n v="485.84321733005697"/>
    <n v="492.78613611500703"/>
    <n v="495.57643530057902"/>
    <x v="111"/>
    <s v="—"/>
    <x v="1"/>
    <n v="0.19521509732998299"/>
    <s v="—"/>
    <x v="101"/>
    <x v="72"/>
    <x v="72"/>
    <n v="77.761729381332799"/>
    <n v="12.5260367973663"/>
    <n v="0.89"/>
    <n v="0.469555469913636"/>
    <s v="—"/>
    <s v="—"/>
    <n v="36.200000000000003"/>
    <s v="Europe"/>
    <m/>
    <m/>
    <m/>
    <m/>
  </r>
  <r>
    <x v="2"/>
    <x v="34"/>
    <n v="493.91812212912998"/>
    <n v="493.42235622743999"/>
    <n v="500.15560659666698"/>
    <x v="112"/>
    <s v="—"/>
    <x v="1"/>
    <s v="—"/>
    <s v="—"/>
    <x v="102"/>
    <x v="73"/>
    <x v="73"/>
    <s v="—"/>
    <n v="11.472882435607399"/>
    <n v="0.86"/>
    <n v="3.9172530931397199E-2"/>
    <s v="—"/>
    <s v="—"/>
    <n v="29.2"/>
    <s v="Europe"/>
    <m/>
    <m/>
    <m/>
    <m/>
  </r>
  <r>
    <x v="2"/>
    <x v="35"/>
    <n v="521.2505751832"/>
    <n v="505.50581553303698"/>
    <n v="492.19822858389898"/>
    <x v="113"/>
    <s v="—"/>
    <x v="1"/>
    <s v="—"/>
    <s v="—"/>
    <x v="103"/>
    <x v="74"/>
    <x v="74"/>
    <n v="181.98992075488599"/>
    <n v="12.2151992214862"/>
    <n v="0.81"/>
    <n v="0.35618456221454398"/>
    <s v="—"/>
    <s v="—"/>
    <n v="32.299999999999997"/>
    <s v="Europe"/>
    <m/>
    <m/>
    <m/>
    <m/>
  </r>
  <r>
    <x v="2"/>
    <x v="36"/>
    <n v="420.45397947154299"/>
    <n v="425.48950886493702"/>
    <n v="428.335092574425"/>
    <x v="114"/>
    <s v="—"/>
    <x v="1"/>
    <s v="—"/>
    <s v="—"/>
    <x v="104"/>
    <x v="75"/>
    <x v="75"/>
    <n v="241.88390342190999"/>
    <n v="15.1565221965066"/>
    <n v="0.92"/>
    <n v="-0.43675143558458501"/>
    <s v="—"/>
    <s v="—"/>
    <n v="42.9"/>
    <s v="Middle East"/>
    <m/>
    <m/>
    <m/>
    <m/>
  </r>
  <r>
    <x v="2"/>
    <x v="37"/>
    <n v="492.47853067251202"/>
    <n v="509.22150294191903"/>
    <n v="497.971931138743"/>
    <x v="115"/>
    <s v="—"/>
    <x v="1"/>
    <m/>
    <s v="—"/>
    <x v="105"/>
    <x v="76"/>
    <x v="76"/>
    <n v="353.27760677325699"/>
    <n v="14.6710208126902"/>
    <n v="0.92"/>
    <n v="-9.3402753689734996E-2"/>
    <s v="—"/>
    <s v="—"/>
    <n v="33.299999999999997"/>
    <s v="Europe"/>
    <m/>
    <m/>
    <m/>
    <m/>
  </r>
  <r>
    <x v="2"/>
    <x v="38"/>
    <n v="469.62849181761402"/>
    <n v="496.24243416488702"/>
    <n v="496.935097348993"/>
    <x v="116"/>
    <s v="—"/>
    <x v="1"/>
    <s v="—"/>
    <s v="—"/>
    <x v="106"/>
    <x v="77"/>
    <x v="77"/>
    <n v="349.16117510595399"/>
    <n v="16.0226968432288"/>
    <n v="0.92"/>
    <n v="-8.7642853682243907E-2"/>
    <s v="—"/>
    <s v="—"/>
    <n v="41.5"/>
    <s v="North America"/>
    <m/>
    <m/>
    <m/>
    <m/>
  </r>
  <r>
    <x v="3"/>
    <x v="0"/>
    <n v="488.16415371678102"/>
    <n v="496.440510669172"/>
    <n v="491.82120671966902"/>
    <x v="117"/>
    <s v="—"/>
    <x v="1"/>
    <s v="—"/>
    <n v="3.0502014842886199E-2"/>
    <x v="107"/>
    <x v="78"/>
    <x v="78"/>
    <n v="161.89672296975499"/>
    <n v="13.687923312538601"/>
    <s v="—"/>
    <n v="1.5877230998836499E-2"/>
    <s v="—"/>
    <s v="—"/>
    <s v="-"/>
    <s v="-"/>
    <m/>
    <m/>
    <m/>
    <m/>
  </r>
  <r>
    <x v="3"/>
    <x v="1"/>
    <n v="504.15076626947399"/>
    <n v="521.49474717952205"/>
    <n v="511.80399763569898"/>
    <x v="118"/>
    <s v="—"/>
    <x v="1"/>
    <s v="—"/>
    <n v="0.29469257494377898"/>
    <x v="4"/>
    <x v="79"/>
    <x v="32"/>
    <n v="161.71870729594599"/>
    <n v="13.1500084393719"/>
    <s v="—"/>
    <n v="-0.15211678301110901"/>
    <s v="—"/>
    <s v="—"/>
    <n v="0"/>
    <s v="Oceania"/>
    <m/>
    <m/>
    <m/>
    <m/>
  </r>
  <r>
    <x v="3"/>
    <x v="2"/>
    <n v="505.54074304018798"/>
    <n v="505.78124786171099"/>
    <n v="489.60933516583799"/>
    <x v="119"/>
    <s v="—"/>
    <x v="1"/>
    <s v="—"/>
    <n v="-0.45837322836636402"/>
    <x v="58"/>
    <x v="80"/>
    <x v="79"/>
    <n v="138.213640327832"/>
    <n v="11.016393430977001"/>
    <s v="—"/>
    <n v="0.54935322778412399"/>
    <s v="—"/>
    <s v="—"/>
    <n v="30.5"/>
    <s v="Europe"/>
    <m/>
    <m/>
    <m/>
    <m/>
  </r>
  <r>
    <x v="3"/>
    <x v="3"/>
    <n v="514.52924489034001"/>
    <n v="504.86765413889799"/>
    <n v="508.61787650267303"/>
    <x v="120"/>
    <s v="—"/>
    <x v="1"/>
    <s v="—"/>
    <n v="-0.14333509806188799"/>
    <x v="4"/>
    <x v="81"/>
    <x v="80"/>
    <n v="129.84517251014799"/>
    <n v="9.2746976811246409"/>
    <s v="—"/>
    <n v="-5.4842921016395201E-2"/>
    <s v="—"/>
    <s v="—"/>
    <n v="27.5"/>
    <s v="Europe"/>
    <m/>
    <m/>
    <m/>
    <m/>
  </r>
  <r>
    <x v="3"/>
    <x v="4"/>
    <n v="518.07039965409899"/>
    <n v="525.44129324696405"/>
    <n v="523.12400306906704"/>
    <x v="121"/>
    <s v="—"/>
    <x v="1"/>
    <s v="—"/>
    <n v="0.217416260138103"/>
    <x v="4"/>
    <x v="79"/>
    <x v="32"/>
    <n v="250.11696644419001"/>
    <n v="15.6048279291493"/>
    <s v="—"/>
    <n v="-8.6657956262804203E-2"/>
    <s v="—"/>
    <s v="—"/>
    <n v="33.5"/>
    <s v="North America"/>
    <m/>
    <m/>
    <m/>
    <m/>
  </r>
  <r>
    <x v="3"/>
    <x v="5"/>
    <n v="422.63235551239802"/>
    <n v="444.93392073443601"/>
    <n v="441.39816388760499"/>
    <x v="122"/>
    <s v="—"/>
    <x v="1"/>
    <s v="—"/>
    <n v="0.413604614941605"/>
    <x v="43"/>
    <x v="82"/>
    <x v="81"/>
    <n v="133.92855435011799"/>
    <n v="22.095616849219301"/>
    <s v="—"/>
    <n v="0.136209110242653"/>
    <s v="—"/>
    <s v="—"/>
    <n v="0"/>
    <s v="South America"/>
    <m/>
    <m/>
    <m/>
    <m/>
  </r>
  <r>
    <x v="3"/>
    <x v="6"/>
    <n v="376.48860104617"/>
    <n v="398.67863163391502"/>
    <n v="403.40253417693202"/>
    <x v="123"/>
    <s v="—"/>
    <x v="1"/>
    <s v="—"/>
    <n v="0.50075832410680199"/>
    <x v="4"/>
    <x v="14"/>
    <x v="27"/>
    <n v="130.24468586203801"/>
    <n v="27.011568203909501"/>
    <s v="—"/>
    <n v="0.21201905976223001"/>
    <s v="—"/>
    <s v="—"/>
    <s v="-"/>
    <s v="South America"/>
    <m/>
    <m/>
    <m/>
    <m/>
  </r>
  <r>
    <x v="3"/>
    <x v="7"/>
    <n v="406.99986717469"/>
    <n v="429.35096779493699"/>
    <n v="440.54781073631801"/>
    <x v="124"/>
    <s v="—"/>
    <x v="1"/>
    <s v="—"/>
    <n v="0.530266912621152"/>
    <x v="36"/>
    <x v="7"/>
    <x v="82"/>
    <n v="143.15413322565101"/>
    <n v="20.4000233716603"/>
    <s v="—"/>
    <n v="0.38213552846809701"/>
    <s v="—"/>
    <s v="—"/>
    <s v="-"/>
    <s v="North America"/>
    <m/>
    <m/>
    <m/>
    <m/>
  </r>
  <r>
    <x v="3"/>
    <x v="8"/>
    <n v="498.95788246319898"/>
    <n v="508.29908084957799"/>
    <n v="492.88973841498"/>
    <x v="125"/>
    <s v="—"/>
    <x v="1"/>
    <s v="—"/>
    <n v="-0.225444619976158"/>
    <x v="4"/>
    <x v="83"/>
    <x v="14"/>
    <n v="71"/>
    <n v="13"/>
    <s v="—"/>
    <n v="-0.35880967919573897"/>
    <s v="—"/>
    <s v="—"/>
    <n v="26.1"/>
    <s v="Europe"/>
    <m/>
    <m/>
    <m/>
    <m/>
  </r>
  <r>
    <x v="3"/>
    <x v="9"/>
    <n v="500.02675667428201"/>
    <n v="498.474202800223"/>
    <n v="496.13088148258601"/>
    <x v="126"/>
    <s v="—"/>
    <x v="1"/>
    <s v="—"/>
    <n v="0.19152688164429099"/>
    <x v="4"/>
    <x v="84"/>
    <x v="83"/>
    <n v="53.306692793579998"/>
    <n v="12.0917090531262"/>
    <s v="—"/>
    <n v="-4.51427870239084E-2"/>
    <s v="—"/>
    <s v="—"/>
    <n v="27.8"/>
    <s v="Europe"/>
    <m/>
    <m/>
    <m/>
    <m/>
  </r>
  <r>
    <x v="3"/>
    <x v="10"/>
    <n v="520.545521584124"/>
    <n v="541.40475753808505"/>
    <n v="516.29418441452401"/>
    <x v="127"/>
    <s v="—"/>
    <x v="1"/>
    <s v="—"/>
    <n v="-0.109349049682155"/>
    <x v="36"/>
    <x v="15"/>
    <x v="84"/>
    <n v="50.505708042028999"/>
    <n v="11.373831711245501"/>
    <s v="—"/>
    <n v="-0.32650744188275299"/>
    <s v="—"/>
    <s v="—"/>
    <n v="32.9"/>
    <s v="Europe"/>
    <m/>
    <m/>
    <m/>
    <m/>
  </r>
  <r>
    <x v="3"/>
    <x v="11"/>
    <n v="518.75033527744199"/>
    <n v="545.441941092923"/>
    <n v="524.02166977668503"/>
    <x v="128"/>
    <s v="—"/>
    <x v="1"/>
    <s v="—"/>
    <n v="0.15774833521645101"/>
    <x v="4"/>
    <x v="85"/>
    <x v="85"/>
    <n v="112.66140512195101"/>
    <n v="10.6053513776193"/>
    <s v="—"/>
    <n v="-0.22256595099781001"/>
    <s v="—"/>
    <s v="—"/>
    <n v="27.1"/>
    <s v="Europe"/>
    <m/>
    <m/>
    <m/>
    <m/>
  </r>
  <r>
    <x v="3"/>
    <x v="12"/>
    <n v="494.98467432577797"/>
    <n v="498.97089524164801"/>
    <n v="505.48148333138801"/>
    <x v="129"/>
    <s v="—"/>
    <x v="1"/>
    <s v="—"/>
    <n v="-0.22950316917483499"/>
    <x v="4"/>
    <x v="86"/>
    <x v="86"/>
    <n v="236.28639975114299"/>
    <n v="11.797773227318601"/>
    <s v="—"/>
    <n v="-0.107552470920791"/>
    <s v="—"/>
    <s v="—"/>
    <n v="33.1"/>
    <s v="Europe"/>
    <m/>
    <m/>
    <m/>
    <m/>
  </r>
  <r>
    <x v="3"/>
    <x v="13"/>
    <n v="513.52505569194"/>
    <n v="524.12080035284896"/>
    <n v="507.67652964237402"/>
    <x v="130"/>
    <s v="—"/>
    <x v="1"/>
    <s v="—"/>
    <n v="-0.31348709326961599"/>
    <x v="4"/>
    <x v="7"/>
    <x v="87"/>
    <n v="100.638632276308"/>
    <n v="15.1289425059284"/>
    <s v="—"/>
    <n v="0.26987371686008499"/>
    <s v="—"/>
    <s v="—"/>
    <n v="31.1"/>
    <s v="Europe"/>
    <m/>
    <m/>
    <m/>
    <m/>
  </r>
  <r>
    <x v="3"/>
    <x v="14"/>
    <n v="452.97342699591297"/>
    <n v="466.72203014280097"/>
    <n v="477.19717660127299"/>
    <x v="131"/>
    <s v="—"/>
    <x v="1"/>
    <s v="—"/>
    <n v="-0.15766720631505499"/>
    <x v="36"/>
    <x v="7"/>
    <x v="1"/>
    <n v="104.397056294352"/>
    <n v="9.11253837062225"/>
    <s v="—"/>
    <n v="-0.14145355273552301"/>
    <s v="—"/>
    <s v="—"/>
    <n v="36.299999999999997"/>
    <s v="Europe"/>
    <m/>
    <m/>
    <m/>
    <m/>
  </r>
  <r>
    <x v="3"/>
    <x v="15"/>
    <n v="477.04445486961902"/>
    <n v="494.30235211289403"/>
    <n v="488.46133394055499"/>
    <x v="132"/>
    <s v="—"/>
    <x v="1"/>
    <s v="—"/>
    <n v="-0.20004148179519601"/>
    <x v="58"/>
    <x v="79"/>
    <x v="88"/>
    <n v="112.959511203421"/>
    <n v="12.413906825803499"/>
    <s v="—"/>
    <n v="0.112008475660225"/>
    <s v="—"/>
    <s v="—"/>
    <n v="30.8"/>
    <s v="Europe"/>
    <m/>
    <m/>
    <m/>
    <m/>
  </r>
  <r>
    <x v="3"/>
    <x v="16"/>
    <n v="492.795697508307"/>
    <n v="478.15459739129699"/>
    <n v="482.52244001748898"/>
    <x v="133"/>
    <s v="—"/>
    <x v="1"/>
    <s v="—"/>
    <n v="0.49111143237452698"/>
    <x v="36"/>
    <x v="8"/>
    <x v="89"/>
    <n v="85.618847138925403"/>
    <n v="10.5251421709266"/>
    <s v="—"/>
    <n v="0.35672594265035901"/>
    <s v="—"/>
    <s v="—"/>
    <n v="26.8"/>
    <s v="Europe"/>
    <m/>
    <m/>
    <m/>
    <m/>
  </r>
  <r>
    <x v="3"/>
    <x v="17"/>
    <n v="501.49746019070199"/>
    <n v="522.00396026812905"/>
    <n v="523.17321009689999"/>
    <x v="134"/>
    <s v="—"/>
    <x v="1"/>
    <s v="—"/>
    <n v="7.9768630522882703E-2"/>
    <x v="36"/>
    <x v="87"/>
    <x v="90"/>
    <n v="108.127678437184"/>
    <n v="14.3032103806091"/>
    <s v="—"/>
    <n v="-2.64895225844393E-2"/>
    <s v="—"/>
    <s v="—"/>
    <n v="33.200000000000003"/>
    <s v="Europe"/>
    <m/>
    <m/>
    <m/>
    <m/>
  </r>
  <r>
    <x v="3"/>
    <x v="18"/>
    <n v="466.48143036732"/>
    <n v="470.07266281958698"/>
    <n v="485.80321257056301"/>
    <x v="135"/>
    <s v="—"/>
    <x v="1"/>
    <s v="—"/>
    <n v="2.46024014559094E-2"/>
    <x v="36"/>
    <x v="88"/>
    <x v="87"/>
    <n v="165.21888418180399"/>
    <n v="10.840510045151399"/>
    <s v="—"/>
    <n v="0.41426197326853498"/>
    <s v="—"/>
    <s v="—"/>
    <n v="41.3"/>
    <s v="Middle East"/>
    <m/>
    <m/>
    <m/>
    <m/>
  </r>
  <r>
    <x v="3"/>
    <x v="19"/>
    <n v="485.32118121405603"/>
    <n v="493.54148289396102"/>
    <n v="489.75440334375702"/>
    <x v="136"/>
    <s v="—"/>
    <x v="1"/>
    <s v="—"/>
    <n v="-0.188719166299543"/>
    <x v="4"/>
    <x v="89"/>
    <x v="20"/>
    <n v="162.78732169834399"/>
    <n v="10.312535392387"/>
    <s v="—"/>
    <n v="-0.214943905661136"/>
    <s v="—"/>
    <s v="—"/>
    <n v="35.200000000000003"/>
    <s v="Europe"/>
    <m/>
    <m/>
    <m/>
    <m/>
  </r>
  <r>
    <x v="3"/>
    <x v="20"/>
    <n v="536.40691858537605"/>
    <n v="546.735600624006"/>
    <n v="538.05148481841297"/>
    <x v="137"/>
    <s v="—"/>
    <x v="1"/>
    <s v="—"/>
    <n v="-8.0848085987280993E-2"/>
    <x v="36"/>
    <x v="32"/>
    <x v="14"/>
    <n v="253.71861027154"/>
    <n v="11.643193114382701"/>
    <s v="—"/>
    <n v="-0.16092770381959801"/>
    <s v="—"/>
    <s v="—"/>
    <n v="32.5"/>
    <s v="Asia"/>
    <m/>
    <m/>
    <m/>
    <m/>
  </r>
  <r>
    <x v="3"/>
    <x v="21"/>
    <n v="553.76665874982803"/>
    <n v="537.78762292575095"/>
    <n v="535.79049010839105"/>
    <x v="138"/>
    <s v="—"/>
    <x v="1"/>
    <s v="—"/>
    <n v="-0.24675042595767199"/>
    <x v="4"/>
    <x v="80"/>
    <x v="80"/>
    <n v="364.53442311740002"/>
    <n v="16.1146423171385"/>
    <s v="—"/>
    <n v="-0.32019705037871599"/>
    <s v="—"/>
    <s v="—"/>
    <s v="-"/>
    <s v="Asia"/>
    <m/>
    <m/>
    <m/>
    <m/>
  </r>
  <r>
    <x v="3"/>
    <x v="22"/>
    <n v="490.57102183440901"/>
    <n v="502.18619364491798"/>
    <n v="488.69441408065802"/>
    <x v="139"/>
    <s v="—"/>
    <x v="1"/>
    <s v="—"/>
    <n v="6.3878901156072906E-2"/>
    <x v="43"/>
    <x v="90"/>
    <x v="87"/>
    <n v="44.0943980357982"/>
    <n v="9.9647202864476299"/>
    <s v="—"/>
    <n v="-0.20358692370888601"/>
    <s v="—"/>
    <s v="—"/>
    <n v="35.200000000000003"/>
    <s v="Europe"/>
    <m/>
    <m/>
    <m/>
    <m/>
  </r>
  <r>
    <x v="3"/>
    <x v="23"/>
    <n v="478.82327747364599"/>
    <n v="495.70008766318301"/>
    <n v="477.30661192754098"/>
    <x v="140"/>
    <s v="—"/>
    <x v="1"/>
    <s v="—"/>
    <n v="5.2362911689845699E-2"/>
    <x v="4"/>
    <x v="91"/>
    <x v="91"/>
    <n v="89.191951827606005"/>
    <n v="11.407736152868001"/>
    <s v="—"/>
    <n v="0.13938498103562799"/>
    <s v="—"/>
    <s v="—"/>
    <n v="35.1"/>
    <s v="Europe"/>
    <m/>
    <m/>
    <m/>
    <m/>
  </r>
  <r>
    <x v="3"/>
    <x v="24"/>
    <n v="489.84509768726298"/>
    <n v="491.21517621529"/>
    <n v="487.80704255425701"/>
    <x v="141"/>
    <s v="—"/>
    <x v="1"/>
    <s v="—"/>
    <n v="-0.38558571850031298"/>
    <x v="4"/>
    <x v="8"/>
    <x v="88"/>
    <n v="239.94239027985199"/>
    <n v="9.0465315596483897"/>
    <s v="—"/>
    <n v="0.203606838598476"/>
    <s v="—"/>
    <s v="—"/>
    <n v="34.299999999999997"/>
    <s v="Europe"/>
    <m/>
    <m/>
    <m/>
    <m/>
  </r>
  <r>
    <x v="3"/>
    <x v="25"/>
    <n v="413.28146659884698"/>
    <n v="414.92014787645502"/>
    <n v="423.55376187574097"/>
    <x v="142"/>
    <s v="—"/>
    <x v="1"/>
    <s v="—"/>
    <n v="0.57321857363358397"/>
    <x v="4"/>
    <x v="11"/>
    <x v="19"/>
    <n v="329.21983981288599"/>
    <n v="30.585932317178202"/>
    <s v="—"/>
    <n v="0.101725102800259"/>
    <s v="—"/>
    <s v="—"/>
    <n v="49.6"/>
    <s v="North America"/>
    <m/>
    <m/>
    <m/>
    <m/>
  </r>
  <r>
    <x v="3"/>
    <x v="26"/>
    <n v="522.97175817661798"/>
    <n v="522.055822811447"/>
    <n v="511.22996538394801"/>
    <x v="143"/>
    <s v="—"/>
    <x v="1"/>
    <s v="—"/>
    <n v="-0.44646746221545502"/>
    <x v="58"/>
    <x v="8"/>
    <x v="85"/>
    <n v="220.619889857196"/>
    <n v="16.761280735582002"/>
    <s v="—"/>
    <n v="-3.16136489167178E-2"/>
    <s v="—"/>
    <s v="—"/>
    <n v="27.6"/>
    <s v="Europe"/>
    <m/>
    <m/>
    <m/>
    <m/>
  </r>
  <r>
    <x v="3"/>
    <x v="27"/>
    <n v="499.74990288193197"/>
    <n v="515.63631934274804"/>
    <n v="512.18679325958794"/>
    <x v="144"/>
    <s v="—"/>
    <x v="1"/>
    <s v="—"/>
    <n v="0.164981387201245"/>
    <x v="4"/>
    <x v="15"/>
    <x v="84"/>
    <n v="237.31550681921601"/>
    <n v="15.157994864619999"/>
    <s v="—"/>
    <n v="-0.140335855457946"/>
    <s v="—"/>
    <s v="—"/>
    <n v="0"/>
    <s v="Oceania"/>
    <m/>
    <m/>
    <m/>
    <m/>
  </r>
  <r>
    <x v="3"/>
    <x v="28"/>
    <n v="489.37307036806402"/>
    <n v="494.52393549363802"/>
    <n v="503.93668577694899"/>
    <x v="145"/>
    <s v="—"/>
    <x v="1"/>
    <s v="—"/>
    <n v="-3.4542856601177202E-2"/>
    <x v="4"/>
    <x v="92"/>
    <x v="32"/>
    <n v="96.651284870840399"/>
    <n v="10.4395235934285"/>
    <s v="—"/>
    <n v="8.3855020506085398E-2"/>
    <s v="—"/>
    <s v="—"/>
    <n v="25.7"/>
    <s v="Europe"/>
    <m/>
    <m/>
    <m/>
    <m/>
  </r>
  <r>
    <x v="3"/>
    <x v="29"/>
    <n v="517.50109673868099"/>
    <n v="525.81644681878504"/>
    <n v="518.18688068084202"/>
    <x v="146"/>
    <s v="—"/>
    <x v="1"/>
    <s v="—"/>
    <n v="-0.25900525274319502"/>
    <x v="4"/>
    <x v="93"/>
    <x v="20"/>
    <n v="95.995603482187306"/>
    <n v="9.4278985610787505"/>
    <s v="—"/>
    <n v="-0.32227283082501601"/>
    <s v="—"/>
    <s v="—"/>
    <n v="33"/>
    <s v="Europe"/>
    <m/>
    <m/>
    <m/>
    <m/>
  </r>
  <r>
    <x v="3"/>
    <x v="30"/>
    <n v="487.06318111920802"/>
    <n v="489.27473296155398"/>
    <n v="487.75768734694901"/>
    <x v="147"/>
    <s v="—"/>
    <x v="1"/>
    <s v="—"/>
    <n v="0.43528975503435902"/>
    <x v="4"/>
    <x v="1"/>
    <x v="92"/>
    <n v="181.06307887934099"/>
    <n v="8.8517171306857794"/>
    <s v="—"/>
    <n v="3.1023640054993799E-2"/>
    <s v="—"/>
    <s v="—"/>
    <n v="36"/>
    <s v="Europe"/>
    <m/>
    <m/>
    <m/>
    <m/>
  </r>
  <r>
    <x v="3"/>
    <x v="31"/>
    <n v="481.64474389864199"/>
    <n v="471.19317782033602"/>
    <n v="462.76703263033897"/>
    <x v="148"/>
    <s v="—"/>
    <x v="1"/>
    <s v="—"/>
    <n v="-0.152591130914147"/>
    <x v="4"/>
    <x v="87"/>
    <x v="14"/>
    <n v="86.469163541157201"/>
    <n v="13.2960690600597"/>
    <s v="—"/>
    <n v="-0.31356754878320398"/>
    <s v="—"/>
    <s v="—"/>
    <s v="-"/>
    <s v="Europe"/>
    <m/>
    <m/>
    <m/>
    <m/>
  </r>
  <r>
    <x v="3"/>
    <x v="32"/>
    <n v="501.127422505933"/>
    <n v="514.14255600312595"/>
    <n v="481.31628351531202"/>
    <x v="149"/>
    <s v="—"/>
    <x v="1"/>
    <s v="—"/>
    <n v="-0.36592088548610702"/>
    <x v="4"/>
    <x v="4"/>
    <x v="34"/>
    <n v="124.403686280499"/>
    <n v="10.535218555222301"/>
    <s v="—"/>
    <n v="-6.8536417900004502E-3"/>
    <s v="—"/>
    <s v="—"/>
    <n v="25.6"/>
    <s v="Europe"/>
    <m/>
    <m/>
    <m/>
    <m/>
  </r>
  <r>
    <x v="3"/>
    <x v="33"/>
    <n v="484.31929783037498"/>
    <n v="496.44582397149401"/>
    <n v="487.93918158519199"/>
    <x v="150"/>
    <s v="—"/>
    <x v="1"/>
    <s v="—"/>
    <n v="0.116843380309337"/>
    <x v="4"/>
    <x v="81"/>
    <x v="88"/>
    <n v="74.676656694494596"/>
    <n v="12.5366011258124"/>
    <s v="—"/>
    <n v="0.409184776063306"/>
    <s v="—"/>
    <s v="—"/>
    <n v="35.4"/>
    <s v="Europe"/>
    <m/>
    <m/>
    <m/>
    <m/>
  </r>
  <r>
    <x v="3"/>
    <x v="34"/>
    <n v="478.26063585232401"/>
    <n v="484.79896659908502"/>
    <n v="483.33500568029501"/>
    <x v="151"/>
    <s v="—"/>
    <x v="1"/>
    <s v="—"/>
    <n v="0.22771976180624301"/>
    <x v="58"/>
    <x v="14"/>
    <x v="92"/>
    <n v="102.15445184483799"/>
    <n v="12.4590127930429"/>
    <s v="—"/>
    <n v="-4.2454589560297698E-2"/>
    <s v="—"/>
    <s v="—"/>
    <n v="27.6"/>
    <s v="Europe"/>
    <m/>
    <m/>
    <m/>
    <m/>
  </r>
  <r>
    <x v="3"/>
    <x v="35"/>
    <n v="530.93100385615105"/>
    <n v="515.29752440674099"/>
    <n v="509.04024971276601"/>
    <x v="152"/>
    <s v="—"/>
    <x v="1"/>
    <s v="—"/>
    <n v="-7.2028123081787396E-2"/>
    <x v="4"/>
    <x v="32"/>
    <x v="84"/>
    <n v="148.61463077575701"/>
    <n v="12.0700917238619"/>
    <s v="—"/>
    <n v="0.426567015276545"/>
    <s v="—"/>
    <s v="—"/>
    <n v="31.6"/>
    <s v="Europe"/>
    <m/>
    <m/>
    <m/>
    <m/>
  </r>
  <r>
    <x v="3"/>
    <x v="36"/>
    <n v="447.984415052099"/>
    <n v="463.41290982528801"/>
    <n v="475.49146628233302"/>
    <x v="153"/>
    <s v="—"/>
    <x v="1"/>
    <s v="—"/>
    <n v="0.17636484871970401"/>
    <x v="4"/>
    <x v="87"/>
    <x v="90"/>
    <n v="298.47943372928199"/>
    <n v="17.443498053575301"/>
    <s v="—"/>
    <n v="0.124074461076919"/>
    <s v="—"/>
    <s v="—"/>
    <n v="40.200000000000003"/>
    <s v="Middle East"/>
    <m/>
    <m/>
    <m/>
    <m/>
  </r>
  <r>
    <x v="3"/>
    <x v="37"/>
    <n v="493.93423096795601"/>
    <n v="514.12932195946996"/>
    <n v="499.32311527682799"/>
    <x v="154"/>
    <s v="—"/>
    <x v="1"/>
    <s v="—"/>
    <n v="0.33798463882254198"/>
    <x v="4"/>
    <x v="7"/>
    <x v="14"/>
    <n v="352.57548834343498"/>
    <n v="14.792579336353301"/>
    <s v="—"/>
    <n v="-2.4623875876328801E-2"/>
    <s v="—"/>
    <s v="—"/>
    <n v="33.1"/>
    <s v="Europe"/>
    <m/>
    <m/>
    <m/>
    <m/>
  </r>
  <r>
    <x v="3"/>
    <x v="38"/>
    <n v="481.36678631030099"/>
    <n v="497.40981237084497"/>
    <n v="497.58171804388502"/>
    <x v="155"/>
    <s v="—"/>
    <x v="1"/>
    <s v="—"/>
    <n v="0.178596092119189"/>
    <x v="4"/>
    <x v="4"/>
    <x v="80"/>
    <n v="361.190367060386"/>
    <n v="17.421681967820799"/>
    <s v="—"/>
    <n v="-4.5157451743616898E-2"/>
    <s v="—"/>
    <s v="—"/>
    <n v="41.2"/>
    <s v="North America"/>
    <m/>
    <m/>
    <m/>
    <m/>
  </r>
  <r>
    <x v="4"/>
    <x v="0"/>
    <n v="491.71857986315302"/>
    <n v="497.72256440588001"/>
    <n v="490.34379242242301"/>
    <x v="156"/>
    <s v="—"/>
    <x v="1"/>
    <n v="3.6285070466197403E-2"/>
    <s v="—"/>
    <x v="108"/>
    <x v="94"/>
    <x v="93"/>
    <n v="162.690851253148"/>
    <n v="13.9335449797536"/>
    <s v="—"/>
    <s v="—"/>
    <s v="—"/>
    <s v="—"/>
    <s v="-"/>
    <s v="-"/>
    <m/>
    <m/>
    <m/>
    <m/>
  </r>
  <r>
    <x v="4"/>
    <x v="1"/>
    <n v="514.34046249331504"/>
    <n v="527.27053393684696"/>
    <n v="514.90065528206105"/>
    <x v="157"/>
    <s v="—"/>
    <x v="1"/>
    <s v="—"/>
    <s v="—"/>
    <x v="109"/>
    <x v="95"/>
    <x v="94"/>
    <n v="169.82301451882699"/>
    <n v="13.435408683744599"/>
    <s v="—"/>
    <s v="—"/>
    <s v="—"/>
    <s v="—"/>
    <n v="0"/>
    <s v="Oceania"/>
    <m/>
    <m/>
    <m/>
    <m/>
  </r>
  <r>
    <x v="4"/>
    <x v="2"/>
    <n v="495.90865525192498"/>
    <n v="494.32767315443903"/>
    <n v="470.28363210139997"/>
    <x v="158"/>
    <s v="—"/>
    <x v="1"/>
    <s v="—"/>
    <s v="—"/>
    <x v="110"/>
    <x v="96"/>
    <x v="95"/>
    <n v="127.86392293777099"/>
    <n v="11.1659008438056"/>
    <s v="—"/>
    <s v="—"/>
    <s v="—"/>
    <s v="—"/>
    <n v="31.5"/>
    <s v="Europe"/>
    <m/>
    <m/>
    <m/>
    <m/>
  </r>
  <r>
    <x v="4"/>
    <x v="3"/>
    <n v="515.27227692113399"/>
    <n v="506.57552613935798"/>
    <n v="505.94579616412102"/>
    <x v="159"/>
    <s v="—"/>
    <x v="1"/>
    <s v="—"/>
    <s v="—"/>
    <x v="111"/>
    <x v="97"/>
    <x v="96"/>
    <n v="125.770110466443"/>
    <n v="9.1876181818118692"/>
    <s v="—"/>
    <s v="—"/>
    <s v="—"/>
    <s v="—"/>
    <n v="28.6"/>
    <s v="Europe"/>
    <m/>
    <m/>
    <m/>
    <m/>
  </r>
  <r>
    <x v="4"/>
    <x v="4"/>
    <n v="526.80515277156996"/>
    <n v="528.70495299930201"/>
    <n v="524.24183332320899"/>
    <x v="160"/>
    <s v="—"/>
    <x v="1"/>
    <s v="—"/>
    <s v="—"/>
    <x v="112"/>
    <x v="98"/>
    <x v="97"/>
    <n v="253.82175504720701"/>
    <n v="15.7145050520302"/>
    <s v="—"/>
    <s v="—"/>
    <s v="—"/>
    <s v="—"/>
    <n v="34"/>
    <s v="North America"/>
    <m/>
    <m/>
    <m/>
    <m/>
  </r>
  <r>
    <x v="4"/>
    <x v="5"/>
    <n v="421.06047317521302"/>
    <n v="447.46736017641899"/>
    <n v="449.36960714807998"/>
    <x v="161"/>
    <s v="—"/>
    <x v="1"/>
    <n v="5.0575925340312501E-2"/>
    <s v="—"/>
    <x v="113"/>
    <x v="99"/>
    <x v="98"/>
    <n v="185.46742014546399"/>
    <n v="25"/>
    <s v="—"/>
    <s v="—"/>
    <s v="—"/>
    <s v="—"/>
    <n v="47.4"/>
    <s v="South America"/>
    <m/>
    <m/>
    <m/>
    <m/>
  </r>
  <r>
    <x v="4"/>
    <x v="6"/>
    <n v="380.84821487918498"/>
    <n v="401.75011504662098"/>
    <n v="413.18149910983999"/>
    <x v="162"/>
    <s v="—"/>
    <x v="1"/>
    <s v="—"/>
    <s v="—"/>
    <x v="114"/>
    <x v="100"/>
    <x v="99"/>
    <n v="129.00058759225701"/>
    <n v="27.671474206768099"/>
    <s v="—"/>
    <s v="—"/>
    <s v="—"/>
    <s v="—"/>
    <s v="-"/>
    <s v="South America"/>
    <m/>
    <m/>
    <m/>
    <m/>
  </r>
  <r>
    <x v="4"/>
    <x v="7"/>
    <s v="—"/>
    <s v="—"/>
    <s v="—"/>
    <x v="7"/>
    <s v="—"/>
    <x v="1"/>
    <s v="—"/>
    <s v="—"/>
    <x v="115"/>
    <x v="0"/>
    <x v="0"/>
    <s v="—"/>
    <s v="—"/>
    <s v="—"/>
    <s v="—"/>
    <s v="—"/>
    <s v="—"/>
    <s v="-"/>
    <s v="North America"/>
    <m/>
    <m/>
    <m/>
    <m/>
  </r>
  <r>
    <x v="4"/>
    <x v="8"/>
    <n v="492.81409408037098"/>
    <n v="500.49706594167702"/>
    <n v="478.18672044853002"/>
    <x v="163"/>
    <s v="—"/>
    <x v="1"/>
    <s v="—"/>
    <s v="—"/>
    <x v="116"/>
    <x v="101"/>
    <x v="100"/>
    <n v="89.663989932446398"/>
    <n v="13.236252393986801"/>
    <s v="—"/>
    <s v="—"/>
    <s v="—"/>
    <s v="—"/>
    <n v="26.2"/>
    <s v="Europe"/>
    <m/>
    <m/>
    <m/>
    <m/>
  </r>
  <r>
    <x v="4"/>
    <x v="9"/>
    <n v="503.27814736227799"/>
    <n v="499.33697468707499"/>
    <n v="494.91616167816301"/>
    <x v="164"/>
    <s v="—"/>
    <x v="1"/>
    <n v="0.22"/>
    <s v="—"/>
    <x v="117"/>
    <x v="102"/>
    <x v="101"/>
    <n v="51.503437217459798"/>
    <n v="11.8825716718506"/>
    <s v="—"/>
    <s v="—"/>
    <s v="—"/>
    <s v="—"/>
    <n v="26.7"/>
    <s v="Europe"/>
    <m/>
    <m/>
    <m/>
    <m/>
  </r>
  <r>
    <x v="4"/>
    <x v="10"/>
    <n v="512.10419739310601"/>
    <n v="527.83175605917904"/>
    <n v="500.96186544679603"/>
    <x v="165"/>
    <s v="—"/>
    <x v="1"/>
    <s v="—"/>
    <s v="—"/>
    <x v="118"/>
    <x v="103"/>
    <x v="102"/>
    <n v="55.074531258425999"/>
    <n v="11.8915358605969"/>
    <s v="—"/>
    <s v="—"/>
    <s v="—"/>
    <s v="—"/>
    <n v="31.4"/>
    <s v="Europe"/>
    <m/>
    <m/>
    <m/>
    <m/>
  </r>
  <r>
    <x v="4"/>
    <x v="11"/>
    <n v="540.50434817230098"/>
    <n v="554.07950978242297"/>
    <n v="535.87798452526897"/>
    <x v="166"/>
    <s v="—"/>
    <x v="1"/>
    <s v="—"/>
    <s v="—"/>
    <x v="119"/>
    <x v="104"/>
    <x v="103"/>
    <n v="120.719275628484"/>
    <n v="11.2156851274383"/>
    <s v="—"/>
    <s v="—"/>
    <s v="—"/>
    <s v="—"/>
    <n v="27.5"/>
    <s v="Europe"/>
    <m/>
    <m/>
    <m/>
    <m/>
  </r>
  <r>
    <x v="4"/>
    <x v="12"/>
    <n v="496.78231031620697"/>
    <n v="498.226893935058"/>
    <n v="495.61654146316602"/>
    <x v="167"/>
    <s v="—"/>
    <x v="1"/>
    <s v="—"/>
    <s v="—"/>
    <x v="120"/>
    <x v="105"/>
    <x v="104"/>
    <s v="—"/>
    <s v="—"/>
    <s v="—"/>
    <s v="—"/>
    <s v="—"/>
    <s v="—"/>
    <n v="32.700000000000003"/>
    <s v="Europe"/>
    <m/>
    <m/>
    <m/>
    <m/>
  </r>
  <r>
    <x v="4"/>
    <x v="13"/>
    <n v="512.77764253751502"/>
    <n v="520.40534953520103"/>
    <n v="497.30505802512499"/>
    <x v="168"/>
    <s v="—"/>
    <x v="1"/>
    <n v="-0.04"/>
    <s v="—"/>
    <x v="121"/>
    <x v="106"/>
    <x v="105"/>
    <n v="93.995361787349907"/>
    <n v="15.9100727332478"/>
    <s v="—"/>
    <s v="—"/>
    <s v="—"/>
    <s v="—"/>
    <n v="30.5"/>
    <s v="Europe"/>
    <m/>
    <m/>
    <m/>
    <m/>
  </r>
  <r>
    <x v="4"/>
    <x v="14"/>
    <n v="466.096372661163"/>
    <n v="470.11576423397702"/>
    <n v="482.77624179793298"/>
    <x v="169"/>
    <s v="—"/>
    <x v="1"/>
    <s v="—"/>
    <s v="—"/>
    <x v="122"/>
    <x v="107"/>
    <x v="106"/>
    <n v="96.607717290638902"/>
    <n v="8.2777522924997804"/>
    <s v="—"/>
    <s v="—"/>
    <s v="—"/>
    <s v="—"/>
    <n v="33.6"/>
    <s v="Europe"/>
    <m/>
    <m/>
    <m/>
    <m/>
  </r>
  <r>
    <x v="4"/>
    <x v="15"/>
    <n v="490.17002750372802"/>
    <n v="502.64274825215199"/>
    <n v="494.17875325243602"/>
    <x v="170"/>
    <s v="—"/>
    <x v="1"/>
    <n v="0.24543635010713"/>
    <s v="—"/>
    <x v="123"/>
    <x v="108"/>
    <x v="107"/>
    <n v="125.456393816332"/>
    <n v="12.0864248208602"/>
    <s v="—"/>
    <s v="—"/>
    <s v="—"/>
    <s v="—"/>
    <n v="27"/>
    <s v="Europe"/>
    <m/>
    <m/>
    <m/>
    <m/>
  </r>
  <r>
    <x v="4"/>
    <x v="16"/>
    <n v="506.66916368762202"/>
    <n v="495.59849861364398"/>
    <n v="500.28331929787998"/>
    <x v="171"/>
    <s v="—"/>
    <x v="1"/>
    <s v="—"/>
    <s v="—"/>
    <x v="124"/>
    <x v="109"/>
    <x v="108"/>
    <n v="63.453757217313999"/>
    <n v="10"/>
    <s v="—"/>
    <s v="—"/>
    <s v="—"/>
    <s v="—"/>
    <n v="28.7"/>
    <s v="Europe"/>
    <m/>
    <m/>
    <m/>
    <m/>
  </r>
  <r>
    <x v="4"/>
    <x v="17"/>
    <n v="487.13637513593898"/>
    <n v="507.98415378913501"/>
    <n v="495.63910860859397"/>
    <x v="172"/>
    <s v="—"/>
    <x v="1"/>
    <s v="—"/>
    <s v="—"/>
    <x v="125"/>
    <x v="110"/>
    <x v="109"/>
    <n v="103"/>
    <n v="14"/>
    <s v="—"/>
    <s v="—"/>
    <s v="—"/>
    <s v="—"/>
    <n v="32.700000000000003"/>
    <s v="Europe"/>
    <m/>
    <m/>
    <m/>
    <m/>
  </r>
  <r>
    <x v="4"/>
    <x v="18"/>
    <n v="446.863763939656"/>
    <n v="454.85096320008"/>
    <n v="473.98995056169298"/>
    <x v="173"/>
    <s v="—"/>
    <x v="1"/>
    <s v="—"/>
    <s v="—"/>
    <x v="126"/>
    <x v="85"/>
    <x v="110"/>
    <n v="174.90276410029099"/>
    <n v="12"/>
    <s v="—"/>
    <s v="—"/>
    <s v="—"/>
    <s v="—"/>
    <n v="42.6"/>
    <s v="Middle East"/>
    <m/>
    <m/>
    <m/>
    <m/>
  </r>
  <r>
    <x v="4"/>
    <x v="19"/>
    <n v="482.90848039534802"/>
    <n v="488.83136268583002"/>
    <n v="486.05109875799599"/>
    <x v="174"/>
    <s v="—"/>
    <x v="1"/>
    <n v="0.192583553164829"/>
    <s v="—"/>
    <x v="127"/>
    <x v="111"/>
    <x v="111"/>
    <n v="157.66329808873101"/>
    <n v="9.3458023130464092"/>
    <s v="—"/>
    <s v="—"/>
    <s v="—"/>
    <s v="—"/>
    <n v="33.799999999999997"/>
    <s v="Europe"/>
    <m/>
    <m/>
    <m/>
    <m/>
  </r>
  <r>
    <x v="4"/>
    <x v="20"/>
    <n v="528.99309287515302"/>
    <n v="539.43099340837296"/>
    <n v="519.85772235673801"/>
    <x v="175"/>
    <s v="—"/>
    <x v="1"/>
    <s v="—"/>
    <s v="—"/>
    <x v="128"/>
    <x v="112"/>
    <x v="112"/>
    <n v="250.77634910970301"/>
    <n v="12.2283345008233"/>
    <s v="—"/>
    <s v="—"/>
    <s v="—"/>
    <s v="—"/>
    <n v="33"/>
    <s v="Asia"/>
    <m/>
    <m/>
    <m/>
    <m/>
  </r>
  <r>
    <x v="4"/>
    <x v="21"/>
    <n v="546.22853420975298"/>
    <n v="537.986230069057"/>
    <n v="539.26748386275597"/>
    <x v="176"/>
    <s v="—"/>
    <x v="1"/>
    <n v="-0.91613067232784196"/>
    <s v="—"/>
    <x v="129"/>
    <x v="113"/>
    <x v="113"/>
    <n v="393.60515696873301"/>
    <n v="17.211795003131002"/>
    <s v="—"/>
    <s v="—"/>
    <s v="—"/>
    <s v="—"/>
    <s v="-"/>
    <s v="Asia"/>
    <m/>
    <m/>
    <m/>
    <m/>
  </r>
  <r>
    <x v="4"/>
    <x v="22"/>
    <n v="481.95382212126498"/>
    <n v="493.87892390422098"/>
    <n v="483.96014543481402"/>
    <x v="177"/>
    <s v="—"/>
    <x v="1"/>
    <s v="—"/>
    <s v="—"/>
    <x v="130"/>
    <x v="114"/>
    <x v="114"/>
    <n v="53.269450353418101"/>
    <n v="9.6069679055235202"/>
    <s v="—"/>
    <s v="—"/>
    <s v="—"/>
    <s v="—"/>
    <n v="35.9"/>
    <s v="Europe"/>
    <m/>
    <m/>
    <m/>
    <m/>
  </r>
  <r>
    <x v="4"/>
    <x v="23"/>
    <n v="476.60230306438098"/>
    <n v="491.40979082965703"/>
    <n v="468.44273446848598"/>
    <x v="178"/>
    <s v="—"/>
    <x v="1"/>
    <n v="0.14257958180973801"/>
    <s v="—"/>
    <x v="131"/>
    <x v="115"/>
    <x v="115"/>
    <n v="92.024317433400697"/>
    <n v="10.9473131027629"/>
    <s v="—"/>
    <s v="—"/>
    <s v="—"/>
    <s v="—"/>
    <n v="37.200000000000003"/>
    <s v="Europe"/>
    <m/>
    <m/>
    <m/>
    <m/>
  </r>
  <r>
    <x v="4"/>
    <x v="24"/>
    <n v="489.06726328990601"/>
    <n v="483.92842084479997"/>
    <n v="472.17338668546802"/>
    <x v="179"/>
    <s v="—"/>
    <x v="1"/>
    <s v="—"/>
    <s v="—"/>
    <x v="132"/>
    <x v="116"/>
    <x v="116"/>
    <n v="237.026028362304"/>
    <n v="9.4680267545530903"/>
    <s v="—"/>
    <s v="—"/>
    <s v="—"/>
    <s v="—"/>
    <n v="31.2"/>
    <s v="Europe"/>
    <m/>
    <m/>
    <m/>
    <m/>
  </r>
  <r>
    <x v="4"/>
    <x v="25"/>
    <n v="418.50909456834398"/>
    <n v="415.90867224109599"/>
    <n v="425.26529925977502"/>
    <x v="180"/>
    <s v="—"/>
    <x v="1"/>
    <s v="—"/>
    <s v="—"/>
    <x v="133"/>
    <x v="117"/>
    <x v="117"/>
    <n v="320.94404468842299"/>
    <n v="30"/>
    <s v="—"/>
    <s v="—"/>
    <s v="—"/>
    <s v="—"/>
    <n v="0"/>
    <s v="North America"/>
    <m/>
    <m/>
    <m/>
    <m/>
  </r>
  <r>
    <x v="4"/>
    <x v="26"/>
    <n v="525.83568837595999"/>
    <n v="522.21812830240594"/>
    <n v="508.40372291433602"/>
    <x v="181"/>
    <s v="—"/>
    <x v="1"/>
    <s v="—"/>
    <s v="—"/>
    <x v="134"/>
    <x v="11"/>
    <x v="118"/>
    <n v="214.56408068257201"/>
    <n v="15.634034711257801"/>
    <s v="—"/>
    <s v="—"/>
    <s v="—"/>
    <s v="—"/>
    <n v="27.9"/>
    <s v="Europe"/>
    <m/>
    <m/>
    <m/>
    <m/>
  </r>
  <r>
    <x v="4"/>
    <x v="27"/>
    <n v="519.300872255267"/>
    <n v="532.00690122586298"/>
    <n v="520.880008657556"/>
    <x v="182"/>
    <s v="—"/>
    <x v="1"/>
    <n v="0.23"/>
    <s v="—"/>
    <x v="135"/>
    <x v="118"/>
    <x v="119"/>
    <n v="254.92832840852699"/>
    <n v="14.8668310573195"/>
    <s v="—"/>
    <s v="—"/>
    <s v="—"/>
    <s v="—"/>
    <n v="0"/>
    <s v="Oceania"/>
    <m/>
    <m/>
    <m/>
    <m/>
  </r>
  <r>
    <x v="4"/>
    <x v="28"/>
    <n v="497.95569298293299"/>
    <n v="499.87569983617499"/>
    <n v="503.230020395488"/>
    <x v="183"/>
    <s v="—"/>
    <x v="1"/>
    <s v="—"/>
    <s v="—"/>
    <x v="136"/>
    <x v="119"/>
    <x v="14"/>
    <n v="95.2954079930646"/>
    <n v="10.499933529942799"/>
    <s v="—"/>
    <s v="—"/>
    <s v="—"/>
    <s v="—"/>
    <n v="26.2"/>
    <s v="Europe"/>
    <m/>
    <m/>
    <m/>
    <m/>
  </r>
  <r>
    <x v="4"/>
    <x v="29"/>
    <n v="494.80291833184299"/>
    <n v="508.068297201966"/>
    <n v="500.47848258901899"/>
    <x v="184"/>
    <s v="—"/>
    <x v="1"/>
    <s v="—"/>
    <s v="—"/>
    <x v="137"/>
    <x v="120"/>
    <x v="120"/>
    <n v="112.867800293808"/>
    <n v="10.629329061838"/>
    <s v="—"/>
    <s v="—"/>
    <s v="—"/>
    <s v="—"/>
    <n v="33.4"/>
    <s v="Europe"/>
    <m/>
    <m/>
    <m/>
    <m/>
  </r>
  <r>
    <x v="4"/>
    <x v="30"/>
    <n v="486.88830591175702"/>
    <n v="492.94996731562901"/>
    <n v="489.33492384315502"/>
    <x v="185"/>
    <s v="—"/>
    <x v="1"/>
    <n v="0.2"/>
    <s v="—"/>
    <x v="138"/>
    <x v="20"/>
    <x v="121"/>
    <n v="188.725868482984"/>
    <n v="8.5352700526531091"/>
    <s v="—"/>
    <s v="—"/>
    <s v="—"/>
    <s v="—"/>
    <n v="34.9"/>
    <s v="Europe"/>
    <m/>
    <m/>
    <m/>
    <m/>
  </r>
  <r>
    <x v="4"/>
    <x v="31"/>
    <n v="496.68342000140598"/>
    <n v="490.26592193521998"/>
    <n v="477.44335249992002"/>
    <x v="186"/>
    <s v="—"/>
    <x v="1"/>
    <s v="—"/>
    <s v="—"/>
    <x v="139"/>
    <x v="121"/>
    <x v="122"/>
    <n v="104.734266502886"/>
    <n v="14.1178021877703"/>
    <s v="—"/>
    <s v="—"/>
    <s v="—"/>
    <s v="—"/>
    <s v="-"/>
    <s v="Europe"/>
    <m/>
    <m/>
    <m/>
    <m/>
  </r>
  <r>
    <x v="4"/>
    <x v="32"/>
    <n v="501.47238933381902"/>
    <n v="511.75947309730498"/>
    <n v="483.08204215963599"/>
    <x v="187"/>
    <s v="—"/>
    <x v="1"/>
    <s v="—"/>
    <s v="—"/>
    <x v="140"/>
    <x v="122"/>
    <x v="123"/>
    <n v="117.89004759917999"/>
    <n v="19.6258682200918"/>
    <s v="—"/>
    <s v="—"/>
    <s v="—"/>
    <s v="—"/>
    <n v="24.8"/>
    <s v="Europe"/>
    <m/>
    <m/>
    <m/>
    <m/>
  </r>
  <r>
    <x v="4"/>
    <x v="33"/>
    <n v="483.493140177442"/>
    <n v="488.25463023125798"/>
    <n v="481.04232598787502"/>
    <x v="188"/>
    <s v="—"/>
    <x v="1"/>
    <s v="—"/>
    <s v="—"/>
    <x v="141"/>
    <x v="123"/>
    <x v="124"/>
    <n v="76.388225923363706"/>
    <n v="11.867036245994701"/>
    <s v="—"/>
    <s v="—"/>
    <s v="—"/>
    <s v="—"/>
    <n v="34.9"/>
    <s v="Europe"/>
    <m/>
    <m/>
    <m/>
    <m/>
  </r>
  <r>
    <x v="4"/>
    <x v="34"/>
    <n v="494.23817517800398"/>
    <n v="495.10589771192798"/>
    <n v="497.44942333732803"/>
    <x v="189"/>
    <s v="—"/>
    <x v="1"/>
    <s v="—"/>
    <s v="—"/>
    <x v="142"/>
    <x v="124"/>
    <x v="125"/>
    <n v="118.325053160903"/>
    <n v="12"/>
    <s v="—"/>
    <s v="—"/>
    <s v="—"/>
    <s v="—"/>
    <n v="27.3"/>
    <s v="Europe"/>
    <m/>
    <m/>
    <m/>
    <m/>
  </r>
  <r>
    <x v="4"/>
    <x v="35"/>
    <n v="533.96064475178503"/>
    <n v="516.56751012167501"/>
    <n v="500.50021174581099"/>
    <x v="190"/>
    <s v="—"/>
    <x v="1"/>
    <s v="—"/>
    <s v="—"/>
    <x v="143"/>
    <x v="125"/>
    <x v="126"/>
    <n v="137.37376427465901"/>
    <n v="13.2265185974936"/>
    <s v="—"/>
    <s v="—"/>
    <s v="—"/>
    <s v="—"/>
    <n v="32.9"/>
    <s v="Europe"/>
    <m/>
    <m/>
    <m/>
    <m/>
  </r>
  <r>
    <x v="4"/>
    <x v="36"/>
    <n v="445.45134005882301"/>
    <n v="453.90971809555901"/>
    <n v="464.19437532196503"/>
    <x v="191"/>
    <s v="—"/>
    <x v="1"/>
    <s v="—"/>
    <s v="—"/>
    <x v="144"/>
    <x v="126"/>
    <x v="127"/>
    <n v="238.43085961527501"/>
    <n v="18.567137897091701"/>
    <s v="—"/>
    <s v="—"/>
    <s v="—"/>
    <s v="—"/>
    <n v="39"/>
    <s v="Middle East"/>
    <m/>
    <m/>
    <m/>
    <m/>
  </r>
  <r>
    <x v="4"/>
    <x v="37"/>
    <n v="492.41407826490803"/>
    <n v="513.71023993296205"/>
    <n v="494.18201003475798"/>
    <x v="192"/>
    <s v="—"/>
    <x v="1"/>
    <s v="—"/>
    <s v="—"/>
    <x v="145"/>
    <x v="127"/>
    <x v="128"/>
    <n v="363.00265809101199"/>
    <n v="14.5121693504175"/>
    <s v="—"/>
    <s v="—"/>
    <s v="—"/>
    <s v="—"/>
    <n v="35.1"/>
    <s v="Europe"/>
    <m/>
    <m/>
    <m/>
    <m/>
  </r>
  <r>
    <x v="4"/>
    <x v="38"/>
    <n v="487.39652050631798"/>
    <n v="502.00226454398199"/>
    <n v="499.82682108248599"/>
    <x v="193"/>
    <s v="—"/>
    <x v="1"/>
    <s v="—"/>
    <s v="—"/>
    <x v="146"/>
    <x v="128"/>
    <x v="129"/>
    <n v="363.11617334498902"/>
    <n v="16.053370303397401"/>
    <s v="—"/>
    <s v="—"/>
    <s v="—"/>
    <s v="—"/>
    <n v="40.799999999999997"/>
    <s v="North America"/>
    <m/>
    <m/>
    <m/>
    <m/>
  </r>
  <r>
    <x v="5"/>
    <x v="0"/>
    <n v="490.407608360231"/>
    <n v="494.804917460826"/>
    <n v="485.35360533523902"/>
    <x v="194"/>
    <s v="—"/>
    <x v="1"/>
    <s v="—"/>
    <s v="—"/>
    <x v="115"/>
    <x v="0"/>
    <x v="0"/>
    <s v="—"/>
    <n v="13.972114826516"/>
    <s v="—"/>
    <s v="—"/>
    <s v="—"/>
    <s v="—"/>
    <s v="-"/>
    <s v="-"/>
    <m/>
    <m/>
    <m/>
    <m/>
  </r>
  <r>
    <x v="5"/>
    <x v="1"/>
    <n v="519.90774855186703"/>
    <n v="526.87958904686604"/>
    <n v="512.893291590888"/>
    <x v="195"/>
    <s v="—"/>
    <x v="1"/>
    <s v="—"/>
    <s v="—"/>
    <x v="115"/>
    <x v="0"/>
    <x v="0"/>
    <s v="—"/>
    <n v="13.411164307506199"/>
    <s v="—"/>
    <s v="—"/>
    <s v="—"/>
    <s v="—"/>
    <n v="0"/>
    <s v="Oceania"/>
    <m/>
    <m/>
    <m/>
    <m/>
  </r>
  <r>
    <x v="5"/>
    <x v="2"/>
    <n v="505.48359847748702"/>
    <n v="510.83715451822502"/>
    <n v="490.19397738161098"/>
    <x v="196"/>
    <s v="—"/>
    <x v="1"/>
    <s v="—"/>
    <s v="—"/>
    <x v="115"/>
    <x v="0"/>
    <x v="0"/>
    <s v="—"/>
    <n v="11.346079232519999"/>
    <s v="—"/>
    <s v="—"/>
    <s v="—"/>
    <s v="—"/>
    <n v="29.6"/>
    <s v="Europe"/>
    <m/>
    <m/>
    <m/>
    <m/>
  </r>
  <r>
    <x v="5"/>
    <x v="3"/>
    <n v="520.34897289600201"/>
    <n v="510.363484146053"/>
    <n v="500.90059468125497"/>
    <x v="197"/>
    <s v="—"/>
    <x v="1"/>
    <s v="—"/>
    <s v="—"/>
    <x v="115"/>
    <x v="0"/>
    <x v="0"/>
    <s v="—"/>
    <n v="9.1362600277881505"/>
    <s v="—"/>
    <s v="—"/>
    <s v="—"/>
    <s v="—"/>
    <n v="28.1"/>
    <s v="Europe"/>
    <m/>
    <m/>
    <m/>
    <m/>
  </r>
  <r>
    <x v="5"/>
    <x v="4"/>
    <n v="527.00717882471997"/>
    <n v="534.46977740356795"/>
    <n v="527.01129558842604"/>
    <x v="198"/>
    <s v="—"/>
    <x v="1"/>
    <s v="—"/>
    <s v="—"/>
    <x v="115"/>
    <x v="0"/>
    <x v="0"/>
    <s v="—"/>
    <n v="17"/>
    <s v="—"/>
    <s v="—"/>
    <s v="—"/>
    <s v="—"/>
    <n v="34.1"/>
    <s v="North America"/>
    <m/>
    <m/>
    <m/>
    <m/>
  </r>
  <r>
    <x v="5"/>
    <x v="5"/>
    <n v="411.350338565367"/>
    <n v="438.17744507643903"/>
    <n v="442.09134568743701"/>
    <x v="199"/>
    <s v="—"/>
    <x v="1"/>
    <s v="—"/>
    <s v="—"/>
    <x v="115"/>
    <x v="0"/>
    <x v="0"/>
    <s v="—"/>
    <n v="25"/>
    <s v="—"/>
    <s v="—"/>
    <s v="—"/>
    <s v="—"/>
    <n v="47.7"/>
    <s v="South America"/>
    <m/>
    <m/>
    <m/>
    <m/>
  </r>
  <r>
    <x v="5"/>
    <x v="6"/>
    <n v="369.97851351992603"/>
    <n v="388.038271758836"/>
    <n v="385.30803847102101"/>
    <x v="200"/>
    <s v="—"/>
    <x v="1"/>
    <s v="—"/>
    <s v="—"/>
    <x v="115"/>
    <x v="0"/>
    <x v="0"/>
    <s v="—"/>
    <n v="23.889632881141399"/>
    <s v="—"/>
    <s v="—"/>
    <s v="—"/>
    <s v="—"/>
    <s v="-"/>
    <s v="South America"/>
    <m/>
    <m/>
    <m/>
    <m/>
  </r>
  <r>
    <x v="5"/>
    <x v="7"/>
    <s v="—"/>
    <s v="—"/>
    <s v="—"/>
    <x v="7"/>
    <s v="—"/>
    <x v="1"/>
    <s v="—"/>
    <s v="—"/>
    <x v="115"/>
    <x v="0"/>
    <x v="0"/>
    <s v="—"/>
    <s v="—"/>
    <s v="—"/>
    <s v="—"/>
    <s v="—"/>
    <s v="—"/>
    <s v="-"/>
    <s v="North America"/>
    <m/>
    <m/>
    <m/>
    <m/>
  </r>
  <r>
    <x v="5"/>
    <x v="8"/>
    <n v="509.85935894455298"/>
    <n v="512.86074591790805"/>
    <n v="482.71516200118299"/>
    <x v="201"/>
    <s v="—"/>
    <x v="1"/>
    <s v="—"/>
    <s v="—"/>
    <x v="115"/>
    <x v="0"/>
    <x v="0"/>
    <s v="—"/>
    <n v="13.5907879227337"/>
    <s v="—"/>
    <s v="—"/>
    <s v="—"/>
    <s v="—"/>
    <n v="26.7"/>
    <s v="Europe"/>
    <m/>
    <m/>
    <m/>
    <m/>
  </r>
  <r>
    <x v="5"/>
    <x v="9"/>
    <n v="513.02595019334603"/>
    <n v="495.89431015439402"/>
    <n v="494.48298106448698"/>
    <x v="202"/>
    <s v="—"/>
    <x v="1"/>
    <s v="—"/>
    <s v="—"/>
    <x v="115"/>
    <x v="0"/>
    <x v="0"/>
    <s v="—"/>
    <n v="12"/>
    <s v="—"/>
    <s v="—"/>
    <s v="—"/>
    <s v="—"/>
    <n v="25.9"/>
    <s v="Europe"/>
    <m/>
    <m/>
    <m/>
    <m/>
  </r>
  <r>
    <x v="5"/>
    <x v="10"/>
    <n v="514.57546170233195"/>
    <n v="531.39180431083503"/>
    <n v="500.74976179293498"/>
    <x v="203"/>
    <s v="—"/>
    <x v="1"/>
    <s v="—"/>
    <s v="—"/>
    <x v="115"/>
    <x v="0"/>
    <x v="0"/>
    <s v="—"/>
    <n v="15.2921967994314"/>
    <s v="—"/>
    <s v="—"/>
    <s v="—"/>
    <s v="—"/>
    <n v="33.700000000000003"/>
    <s v="Europe"/>
    <m/>
    <m/>
    <m/>
    <m/>
  </r>
  <r>
    <x v="5"/>
    <x v="11"/>
    <n v="548.35839512274902"/>
    <n v="563.32283453827404"/>
    <n v="546.86828132255903"/>
    <x v="204"/>
    <s v="—"/>
    <x v="1"/>
    <s v="—"/>
    <s v="—"/>
    <x v="115"/>
    <x v="0"/>
    <x v="0"/>
    <s v="—"/>
    <n v="11.326804207324001"/>
    <s v="—"/>
    <s v="—"/>
    <s v="—"/>
    <s v="—"/>
    <n v="28"/>
    <s v="Europe"/>
    <m/>
    <m/>
    <m/>
    <m/>
  </r>
  <r>
    <x v="5"/>
    <x v="12"/>
    <n v="495.53833286443597"/>
    <n v="495.21983899188098"/>
    <n v="487.70624693394001"/>
    <x v="205"/>
    <s v="—"/>
    <x v="1"/>
    <s v="—"/>
    <s v="—"/>
    <x v="115"/>
    <x v="0"/>
    <x v="0"/>
    <s v="—"/>
    <s v="—"/>
    <s v="—"/>
    <s v="—"/>
    <s v="—"/>
    <s v="—"/>
    <n v="29.7"/>
    <s v="Europe"/>
    <m/>
    <m/>
    <m/>
    <m/>
  </r>
  <r>
    <x v="5"/>
    <x v="13"/>
    <n v="503.79085830625098"/>
    <n v="515.64912987563901"/>
    <n v="494.94441793196"/>
    <x v="206"/>
    <s v="—"/>
    <x v="1"/>
    <s v="—"/>
    <s v="—"/>
    <x v="115"/>
    <x v="0"/>
    <x v="0"/>
    <s v="—"/>
    <n v="17.2480836546492"/>
    <s v="—"/>
    <s v="—"/>
    <s v="—"/>
    <s v="—"/>
    <n v="31"/>
    <s v="Europe"/>
    <m/>
    <m/>
    <m/>
    <m/>
  </r>
  <r>
    <x v="5"/>
    <x v="14"/>
    <n v="459.20198671596899"/>
    <n v="473.37796397649299"/>
    <n v="459.71118469304503"/>
    <x v="207"/>
    <s v="—"/>
    <x v="1"/>
    <s v="—"/>
    <s v="—"/>
    <x v="115"/>
    <x v="0"/>
    <x v="0"/>
    <s v="—"/>
    <n v="8.9238940435672305"/>
    <s v="—"/>
    <s v="—"/>
    <s v="—"/>
    <s v="—"/>
    <n v="35.1"/>
    <s v="Europe"/>
    <m/>
    <m/>
    <m/>
    <m/>
  </r>
  <r>
    <x v="5"/>
    <x v="15"/>
    <n v="490.93738300313402"/>
    <n v="503.931728969483"/>
    <n v="482.37451747530298"/>
    <x v="208"/>
    <s v="—"/>
    <x v="1"/>
    <s v="—"/>
    <s v="—"/>
    <x v="115"/>
    <x v="0"/>
    <x v="0"/>
    <s v="—"/>
    <n v="12.1254684133611"/>
    <s v="—"/>
    <s v="—"/>
    <s v="—"/>
    <s v="—"/>
    <n v="28.3"/>
    <s v="Europe"/>
    <m/>
    <m/>
    <m/>
    <m/>
  </r>
  <r>
    <x v="5"/>
    <x v="16"/>
    <n v="505.544828285265"/>
    <n v="490.79377445115603"/>
    <n v="484.44527196361798"/>
    <x v="209"/>
    <s v="—"/>
    <x v="1"/>
    <s v="—"/>
    <s v="—"/>
    <x v="115"/>
    <x v="0"/>
    <x v="0"/>
    <s v="—"/>
    <n v="10.8819576052618"/>
    <s v="—"/>
    <s v="—"/>
    <s v="—"/>
    <s v="—"/>
    <n v="30.2"/>
    <s v="Europe"/>
    <m/>
    <m/>
    <m/>
    <m/>
  </r>
  <r>
    <x v="5"/>
    <x v="17"/>
    <n v="501.47177111731099"/>
    <n v="508.32892994343598"/>
    <n v="517.31323821893602"/>
    <x v="210"/>
    <s v="—"/>
    <x v="1"/>
    <s v="—"/>
    <s v="—"/>
    <x v="115"/>
    <x v="0"/>
    <x v="0"/>
    <s v="—"/>
    <n v="13.322056640828899"/>
    <s v="—"/>
    <s v="—"/>
    <s v="—"/>
    <s v="—"/>
    <n v="32.700000000000003"/>
    <s v="Europe"/>
    <m/>
    <m/>
    <m/>
    <m/>
  </r>
  <r>
    <x v="5"/>
    <x v="18"/>
    <n v="441.85872775246099"/>
    <n v="453.90370808611198"/>
    <n v="438.67227483925001"/>
    <x v="211"/>
    <s v="—"/>
    <x v="1"/>
    <s v="—"/>
    <s v="—"/>
    <x v="115"/>
    <x v="0"/>
    <x v="0"/>
    <s v="—"/>
    <n v="12.6827598783988"/>
    <s v="—"/>
    <s v="—"/>
    <s v="—"/>
    <s v="—"/>
    <n v="41.6"/>
    <s v="Middle East"/>
    <m/>
    <m/>
    <m/>
    <m/>
  </r>
  <r>
    <x v="5"/>
    <x v="19"/>
    <n v="461.688720801908"/>
    <n v="475.39722054935902"/>
    <n v="468.52310872731601"/>
    <x v="212"/>
    <s v="—"/>
    <x v="1"/>
    <s v="—"/>
    <s v="—"/>
    <x v="115"/>
    <x v="0"/>
    <x v="0"/>
    <s v="—"/>
    <n v="9.1818075902793996"/>
    <s v="—"/>
    <s v="—"/>
    <s v="—"/>
    <s v="—"/>
    <n v="33.700000000000003"/>
    <s v="Europe"/>
    <m/>
    <m/>
    <m/>
    <m/>
  </r>
  <r>
    <x v="5"/>
    <x v="20"/>
    <n v="523.10251518708003"/>
    <n v="531.38850905181198"/>
    <n v="497.95706874513201"/>
    <x v="213"/>
    <s v="—"/>
    <x v="1"/>
    <s v="—"/>
    <s v="—"/>
    <x v="115"/>
    <x v="0"/>
    <x v="0"/>
    <s v="—"/>
    <n v="12.8367696362932"/>
    <s v="—"/>
    <s v="—"/>
    <s v="—"/>
    <s v="—"/>
    <n v="0"/>
    <s v="Asia"/>
    <m/>
    <m/>
    <m/>
    <m/>
  </r>
  <r>
    <x v="5"/>
    <x v="21"/>
    <n v="547.45847881515203"/>
    <n v="522.14814133481696"/>
    <n v="556.02191025739501"/>
    <x v="214"/>
    <s v="—"/>
    <x v="1"/>
    <s v="—"/>
    <s v="—"/>
    <x v="115"/>
    <x v="0"/>
    <x v="0"/>
    <s v="—"/>
    <n v="16.348170087583"/>
    <s v="—"/>
    <s v="—"/>
    <s v="—"/>
    <s v="—"/>
    <s v="-"/>
    <s v="Asia"/>
    <m/>
    <m/>
    <m/>
    <m/>
  </r>
  <r>
    <x v="5"/>
    <x v="22"/>
    <n v="486.16608346450602"/>
    <n v="489.54377817062402"/>
    <n v="479.49183543223899"/>
    <x v="215"/>
    <s v="—"/>
    <x v="1"/>
    <s v="—"/>
    <s v="—"/>
    <x v="115"/>
    <x v="0"/>
    <x v="0"/>
    <s v="—"/>
    <n v="11.715261534656401"/>
    <s v="—"/>
    <s v="—"/>
    <s v="—"/>
    <s v="—"/>
    <n v="35.6"/>
    <s v="Europe"/>
    <m/>
    <m/>
    <m/>
    <m/>
  </r>
  <r>
    <x v="5"/>
    <x v="23"/>
    <n v="486.421334787376"/>
    <n v="487.95669825500602"/>
    <n v="470.07075567321198"/>
    <x v="216"/>
    <s v="—"/>
    <x v="1"/>
    <s v="—"/>
    <s v="—"/>
    <x v="115"/>
    <x v="0"/>
    <x v="0"/>
    <s v="—"/>
    <n v="12.107376896938"/>
    <s v="—"/>
    <s v="—"/>
    <s v="—"/>
    <s v="—"/>
    <n v="34.4"/>
    <s v="Europe"/>
    <m/>
    <m/>
    <m/>
    <m/>
  </r>
  <r>
    <x v="5"/>
    <x v="24"/>
    <n v="490.00184036049302"/>
    <n v="486.32436296630601"/>
    <n v="479.36654157018103"/>
    <x v="217"/>
    <s v="—"/>
    <x v="1"/>
    <s v="—"/>
    <s v="—"/>
    <x v="115"/>
    <x v="0"/>
    <x v="0"/>
    <s v="—"/>
    <n v="9.4647641678211301"/>
    <s v="—"/>
    <s v="—"/>
    <s v="—"/>
    <s v="—"/>
    <n v="30.9"/>
    <s v="Europe"/>
    <m/>
    <m/>
    <m/>
    <m/>
  </r>
  <r>
    <x v="5"/>
    <x v="25"/>
    <n v="405.65463976696799"/>
    <n v="409.65195163437602"/>
    <n v="410.496454832805"/>
    <x v="218"/>
    <s v="—"/>
    <x v="1"/>
    <s v="—"/>
    <s v="—"/>
    <x v="115"/>
    <x v="0"/>
    <x v="0"/>
    <s v="—"/>
    <n v="27"/>
    <s v="—"/>
    <s v="—"/>
    <s v="—"/>
    <s v="—"/>
    <n v="49.7"/>
    <s v="North America"/>
    <m/>
    <m/>
    <m/>
    <m/>
  </r>
  <r>
    <x v="5"/>
    <x v="26"/>
    <n v="530.654046403508"/>
    <n v="524.86150629401095"/>
    <n v="506.74697098667201"/>
    <x v="219"/>
    <s v="—"/>
    <x v="1"/>
    <s v="—"/>
    <s v="—"/>
    <x v="115"/>
    <x v="0"/>
    <x v="0"/>
    <s v="—"/>
    <n v="15.9622487965063"/>
    <s v="—"/>
    <s v="—"/>
    <s v="—"/>
    <s v="—"/>
    <n v="30"/>
    <s v="Europe"/>
    <m/>
    <m/>
    <m/>
    <m/>
  </r>
  <r>
    <x v="5"/>
    <x v="27"/>
    <n v="521.988848532372"/>
    <n v="530.38436076112498"/>
    <n v="521.032645066486"/>
    <x v="220"/>
    <s v="—"/>
    <x v="1"/>
    <s v="—"/>
    <s v="—"/>
    <x v="115"/>
    <x v="0"/>
    <x v="0"/>
    <s v="—"/>
    <n v="15.7678450479617"/>
    <s v="—"/>
    <s v="—"/>
    <s v="—"/>
    <s v="—"/>
    <n v="0"/>
    <s v="Oceania"/>
    <m/>
    <m/>
    <m/>
    <m/>
  </r>
  <r>
    <x v="5"/>
    <x v="28"/>
    <n v="489.846353153488"/>
    <n v="486.52795747727203"/>
    <n v="484.29256304037301"/>
    <x v="221"/>
    <s v="—"/>
    <x v="1"/>
    <s v="—"/>
    <s v="—"/>
    <x v="115"/>
    <x v="0"/>
    <x v="0"/>
    <s v="—"/>
    <n v="10.734717553073301"/>
    <s v="—"/>
    <s v="—"/>
    <s v="—"/>
    <s v="—"/>
    <n v="26.4"/>
    <s v="Europe"/>
    <m/>
    <m/>
    <m/>
    <m/>
  </r>
  <r>
    <x v="5"/>
    <x v="29"/>
    <n v="495.428496857271"/>
    <n v="497.806502274107"/>
    <n v="507.63952725124301"/>
    <x v="222"/>
    <s v="—"/>
    <x v="1"/>
    <s v="—"/>
    <s v="—"/>
    <x v="115"/>
    <x v="0"/>
    <x v="0"/>
    <s v="—"/>
    <n v="11.3188932367097"/>
    <s v="—"/>
    <s v="—"/>
    <s v="—"/>
    <s v="—"/>
    <n v="34.700000000000003"/>
    <s v="Europe"/>
    <m/>
    <m/>
    <m/>
    <m/>
  </r>
  <r>
    <x v="5"/>
    <x v="30"/>
    <n v="466.16098569892898"/>
    <n v="474.30588915776099"/>
    <n v="472.30430504318798"/>
    <x v="223"/>
    <s v="—"/>
    <x v="1"/>
    <s v="—"/>
    <s v="—"/>
    <x v="115"/>
    <x v="0"/>
    <x v="0"/>
    <s v="—"/>
    <n v="8.8825049615312004"/>
    <s v="—"/>
    <s v="—"/>
    <s v="—"/>
    <s v="—"/>
    <n v="38.1"/>
    <s v="Europe"/>
    <m/>
    <m/>
    <m/>
    <m/>
  </r>
  <r>
    <x v="5"/>
    <x v="31"/>
    <n v="492.10623790658298"/>
    <n v="488.433398569752"/>
    <n v="466.349768837243"/>
    <x v="224"/>
    <s v="—"/>
    <x v="1"/>
    <s v="—"/>
    <s v="—"/>
    <x v="115"/>
    <x v="0"/>
    <x v="0"/>
    <s v="—"/>
    <n v="15.0437822931029"/>
    <s v="—"/>
    <s v="—"/>
    <s v="—"/>
    <s v="—"/>
    <s v="-"/>
    <s v="Europe"/>
    <m/>
    <m/>
    <m/>
    <m/>
  </r>
  <r>
    <x v="5"/>
    <x v="32"/>
    <n v="504.455963817407"/>
    <n v="518.81560980213897"/>
    <n v="494.40903688263001"/>
    <x v="225"/>
    <s v="—"/>
    <x v="1"/>
    <s v="—"/>
    <s v="—"/>
    <x v="115"/>
    <x v="0"/>
    <x v="0"/>
    <s v="—"/>
    <n v="14.3035775487874"/>
    <s v="—"/>
    <s v="—"/>
    <s v="—"/>
    <s v="—"/>
    <n v="24.4"/>
    <s v="Europe"/>
    <m/>
    <m/>
    <m/>
    <m/>
  </r>
  <r>
    <x v="5"/>
    <x v="33"/>
    <n v="479.95750699749499"/>
    <n v="488.42452269356698"/>
    <n v="460.83011207178703"/>
    <x v="226"/>
    <s v="—"/>
    <x v="1"/>
    <s v="—"/>
    <s v="—"/>
    <x v="115"/>
    <x v="0"/>
    <x v="0"/>
    <s v="—"/>
    <n v="12.363261540965"/>
    <s v="—"/>
    <s v="—"/>
    <s v="—"/>
    <s v="—"/>
    <n v="33.5"/>
    <s v="Europe"/>
    <m/>
    <m/>
    <m/>
    <m/>
  </r>
  <r>
    <x v="5"/>
    <x v="34"/>
    <n v="502.35639820674697"/>
    <n v="503.33400592654903"/>
    <n v="507.312880170987"/>
    <x v="227"/>
    <s v="—"/>
    <x v="1"/>
    <s v="—"/>
    <s v="—"/>
    <x v="115"/>
    <x v="0"/>
    <x v="0"/>
    <s v="—"/>
    <n v="12.344638521708299"/>
    <s v="—"/>
    <s v="—"/>
    <s v="—"/>
    <s v="—"/>
    <n v="26.4"/>
    <s v="Europe"/>
    <m/>
    <m/>
    <m/>
    <m/>
  </r>
  <r>
    <x v="5"/>
    <x v="35"/>
    <n v="529.65614727481704"/>
    <n v="511.52390948570599"/>
    <n v="499.27778379805699"/>
    <x v="228"/>
    <s v="—"/>
    <x v="1"/>
    <s v="—"/>
    <s v="—"/>
    <x v="115"/>
    <x v="0"/>
    <x v="0"/>
    <s v="—"/>
    <n v="11.919797229341199"/>
    <s v="—"/>
    <s v="—"/>
    <s v="—"/>
    <s v="—"/>
    <n v="33.9"/>
    <s v="Europe"/>
    <m/>
    <m/>
    <m/>
    <m/>
  </r>
  <r>
    <x v="5"/>
    <x v="36"/>
    <n v="423.94119032310101"/>
    <n v="423.83274522053301"/>
    <n v="447.14113249126899"/>
    <x v="229"/>
    <s v="—"/>
    <x v="1"/>
    <s v="—"/>
    <s v="—"/>
    <x v="115"/>
    <x v="0"/>
    <x v="0"/>
    <s v="—"/>
    <n v="18.4991177904271"/>
    <s v="—"/>
    <s v="—"/>
    <s v="—"/>
    <s v="—"/>
    <n v="39.6"/>
    <s v="Middle East"/>
    <m/>
    <m/>
    <m/>
    <m/>
  </r>
  <r>
    <x v="5"/>
    <x v="37"/>
    <n v="495.44415847633798"/>
    <n v="514.77354794106702"/>
    <n v="495.08350955251501"/>
    <x v="230"/>
    <s v="—"/>
    <x v="1"/>
    <s v="—"/>
    <s v="—"/>
    <x v="115"/>
    <x v="0"/>
    <x v="0"/>
    <s v="—"/>
    <n v="15.269321914605101"/>
    <s v="—"/>
    <s v="—"/>
    <s v="—"/>
    <s v="—"/>
    <n v="35.9"/>
    <s v="Europe"/>
    <m/>
    <m/>
    <m/>
    <m/>
  </r>
  <r>
    <x v="5"/>
    <x v="38"/>
    <n v="474.35215765383998"/>
    <n v="488.906837319065"/>
    <s v="—"/>
    <x v="231"/>
    <s v="—"/>
    <x v="1"/>
    <s v="—"/>
    <s v="—"/>
    <x v="115"/>
    <x v="0"/>
    <x v="0"/>
    <s v="—"/>
    <n v="15"/>
    <s v="—"/>
    <s v="—"/>
    <s v="—"/>
    <s v="—"/>
    <n v="41.7"/>
    <s v="North America"/>
    <m/>
    <m/>
    <m/>
    <m/>
  </r>
  <r>
    <x v="6"/>
    <x v="0"/>
    <n v="499.46352490047298"/>
    <s v="—"/>
    <n v="494.08596622219397"/>
    <x v="232"/>
    <s v="—"/>
    <x v="1"/>
    <s v="—"/>
    <n v="-0.21127346749822701"/>
    <x v="115"/>
    <x v="0"/>
    <x v="0"/>
    <s v="—"/>
    <n v="13.4373040880192"/>
    <s v="—"/>
    <n v="4.3295371907978303E-3"/>
    <s v="—"/>
    <s v="—"/>
    <s v="-"/>
    <s v="-"/>
    <m/>
    <m/>
    <m/>
    <m/>
  </r>
  <r>
    <x v="6"/>
    <x v="1"/>
    <n v="524.266004324964"/>
    <s v="—"/>
    <n v="525.42700679996597"/>
    <x v="233"/>
    <s v="—"/>
    <x v="1"/>
    <s v="—"/>
    <n v="8.3013029147119902E-3"/>
    <x v="115"/>
    <x v="0"/>
    <x v="0"/>
    <s v="—"/>
    <n v="13.5451179183731"/>
    <s v="—"/>
    <n v="5.3623936723764899E-2"/>
    <s v="—"/>
    <s v="—"/>
    <n v="33.5"/>
    <s v="Oceania"/>
    <m/>
    <m/>
    <m/>
    <m/>
  </r>
  <r>
    <x v="6"/>
    <x v="2"/>
    <n v="505.61098361977798"/>
    <s v="—"/>
    <n v="490.69324048785802"/>
    <x v="234"/>
    <s v="—"/>
    <x v="1"/>
    <s v="—"/>
    <n v="-0.56823175331832398"/>
    <x v="115"/>
    <x v="0"/>
    <x v="0"/>
    <s v="—"/>
    <n v="13.0351017674004"/>
    <s v="—"/>
    <n v="0.438879564402261"/>
    <s v="—"/>
    <s v="—"/>
    <n v="29.5"/>
    <s v="Europe"/>
    <m/>
    <m/>
    <m/>
    <m/>
  </r>
  <r>
    <x v="6"/>
    <x v="3"/>
    <n v="529.28641462986297"/>
    <s v="—"/>
    <n v="506.98733242324499"/>
    <x v="235"/>
    <s v="—"/>
    <x v="1"/>
    <s v="—"/>
    <n v="-0.31298557284231698"/>
    <x v="115"/>
    <x v="0"/>
    <x v="0"/>
    <s v="—"/>
    <n v="9.4020741598708604"/>
    <s v="—"/>
    <n v="-0.2661542005793"/>
    <s v="—"/>
    <s v="—"/>
    <n v="28.1"/>
    <s v="Europe"/>
    <m/>
    <m/>
    <m/>
    <m/>
  </r>
  <r>
    <x v="6"/>
    <x v="4"/>
    <n v="532.48673619702402"/>
    <s v="—"/>
    <n v="527.91361185490598"/>
    <x v="236"/>
    <s v="—"/>
    <x v="1"/>
    <s v="—"/>
    <n v="2.6109680596948501E-2"/>
    <x v="115"/>
    <x v="0"/>
    <x v="0"/>
    <s v="—"/>
    <n v="17.003206730601399"/>
    <s v="—"/>
    <n v="3.0765531394714499E-2"/>
    <s v="—"/>
    <s v="—"/>
    <n v="33.799999999999997"/>
    <s v="North America"/>
    <m/>
    <m/>
    <m/>
    <m/>
  </r>
  <r>
    <x v="6"/>
    <x v="5"/>
    <s v="—"/>
    <s v="—"/>
    <s v="—"/>
    <x v="7"/>
    <s v="—"/>
    <x v="1"/>
    <s v="—"/>
    <s v="—"/>
    <x v="115"/>
    <x v="0"/>
    <x v="0"/>
    <s v="—"/>
    <s v="—"/>
    <s v="—"/>
    <s v="—"/>
    <s v="—"/>
    <s v="—"/>
    <n v="51.5"/>
    <s v="South America"/>
    <m/>
    <m/>
    <m/>
    <m/>
  </r>
  <r>
    <x v="6"/>
    <x v="6"/>
    <s v="—"/>
    <s v="—"/>
    <s v="—"/>
    <x v="7"/>
    <s v="—"/>
    <x v="1"/>
    <s v="—"/>
    <s v="—"/>
    <x v="115"/>
    <x v="0"/>
    <x v="0"/>
    <s v="—"/>
    <s v="—"/>
    <s v="—"/>
    <s v="—"/>
    <s v="—"/>
    <s v="—"/>
    <s v="-"/>
    <s v="South America"/>
    <m/>
    <m/>
    <m/>
    <m/>
  </r>
  <r>
    <x v="6"/>
    <x v="7"/>
    <s v="—"/>
    <s v="—"/>
    <s v="—"/>
    <x v="7"/>
    <s v="—"/>
    <x v="1"/>
    <s v="—"/>
    <s v="—"/>
    <x v="115"/>
    <x v="0"/>
    <x v="0"/>
    <s v="—"/>
    <s v="—"/>
    <s v="—"/>
    <s v="—"/>
    <s v="—"/>
    <s v="—"/>
    <s v="-"/>
    <s v="North America"/>
    <m/>
    <m/>
    <m/>
    <m/>
  </r>
  <r>
    <x v="6"/>
    <x v="8"/>
    <n v="516.45500074502797"/>
    <s v="—"/>
    <n v="488.542284443754"/>
    <x v="237"/>
    <s v="—"/>
    <x v="1"/>
    <s v="—"/>
    <n v="-0.35242349585445298"/>
    <x v="115"/>
    <x v="0"/>
    <x v="0"/>
    <s v="—"/>
    <n v="15.152479914656499"/>
    <s v="—"/>
    <n v="-0.256131734122447"/>
    <s v="—"/>
    <s v="—"/>
    <n v="0"/>
    <s v="Europe"/>
    <m/>
    <m/>
    <m/>
    <m/>
  </r>
  <r>
    <x v="6"/>
    <x v="9"/>
    <n v="514.28767510856903"/>
    <s v="—"/>
    <n v="492.32337953296701"/>
    <x v="238"/>
    <s v="—"/>
    <x v="1"/>
    <s v="—"/>
    <n v="-8.3855949220954198E-2"/>
    <x v="115"/>
    <x v="0"/>
    <x v="0"/>
    <s v="—"/>
    <n v="11.2840323918763"/>
    <s v="—"/>
    <n v="2.16373144151507E-2"/>
    <s v="—"/>
    <s v="—"/>
    <n v="25.6"/>
    <s v="Europe"/>
    <m/>
    <m/>
    <m/>
    <m/>
  </r>
  <r>
    <x v="6"/>
    <x v="10"/>
    <s v="—"/>
    <s v="—"/>
    <s v="—"/>
    <x v="7"/>
    <s v="—"/>
    <x v="1"/>
    <s v="—"/>
    <s v="—"/>
    <x v="115"/>
    <x v="0"/>
    <x v="0"/>
    <s v="—"/>
    <s v="—"/>
    <s v="—"/>
    <s v="—"/>
    <s v="—"/>
    <s v="—"/>
    <n v="37.200000000000003"/>
    <s v="Europe"/>
    <m/>
    <m/>
    <m/>
    <m/>
  </r>
  <r>
    <x v="6"/>
    <x v="11"/>
    <n v="544.28918700619795"/>
    <s v="—"/>
    <n v="543.46254335307697"/>
    <x v="239"/>
    <s v="—"/>
    <x v="1"/>
    <s v="—"/>
    <n v="-0.14555011899661799"/>
    <x v="115"/>
    <x v="0"/>
    <x v="0"/>
    <s v="—"/>
    <n v="10.752593997060201"/>
    <s v="—"/>
    <n v="-6.7614068552966401E-3"/>
    <s v="—"/>
    <s v="—"/>
    <n v="27.7"/>
    <s v="Europe"/>
    <m/>
    <m/>
    <m/>
    <m/>
  </r>
  <r>
    <x v="6"/>
    <x v="12"/>
    <n v="510.79947348592702"/>
    <s v="—"/>
    <n v="496.18878489734499"/>
    <x v="240"/>
    <s v="—"/>
    <x v="1"/>
    <s v="—"/>
    <n v="-0.366952055075008"/>
    <x v="115"/>
    <x v="0"/>
    <x v="0"/>
    <s v="—"/>
    <s v="—"/>
    <s v="—"/>
    <n v="-0.166276148187772"/>
    <s v="—"/>
    <s v="—"/>
    <n v="31.4"/>
    <s v="Europe"/>
    <m/>
    <m/>
    <m/>
    <m/>
  </r>
  <r>
    <x v="6"/>
    <x v="13"/>
    <n v="502.985532699418"/>
    <s v="—"/>
    <n v="491.35799855495998"/>
    <x v="241"/>
    <s v="—"/>
    <x v="1"/>
    <s v="—"/>
    <n v="-0.47229847953903997"/>
    <x v="115"/>
    <x v="0"/>
    <x v="0"/>
    <s v="—"/>
    <n v="17.618387783179699"/>
    <s v="—"/>
    <n v="0.24306966249300399"/>
    <s v="—"/>
    <s v="—"/>
    <n v="29.8"/>
    <s v="Europe"/>
    <m/>
    <m/>
    <m/>
    <m/>
  </r>
  <r>
    <x v="6"/>
    <x v="14"/>
    <n v="444.91186270493699"/>
    <s v="—"/>
    <n v="472.26687672760897"/>
    <x v="242"/>
    <s v="—"/>
    <x v="1"/>
    <s v="—"/>
    <n v="-0.26328151149183898"/>
    <x v="115"/>
    <x v="0"/>
    <x v="0"/>
    <s v="—"/>
    <n v="9.6885414234519995"/>
    <s v="—"/>
    <n v="4.6945390037784598E-2"/>
    <s v="—"/>
    <s v="—"/>
    <n v="32.799999999999997"/>
    <s v="Europe"/>
    <m/>
    <m/>
    <m/>
    <m/>
  </r>
  <r>
    <x v="6"/>
    <x v="15"/>
    <n v="490.012392234689"/>
    <s v="—"/>
    <n v="481.86969454430198"/>
    <x v="243"/>
    <s v="—"/>
    <x v="1"/>
    <s v="—"/>
    <n v="-0.28691725784205002"/>
    <x v="115"/>
    <x v="0"/>
    <x v="0"/>
    <s v="—"/>
    <n v="10.264363652596501"/>
    <s v="—"/>
    <n v="8.81689904602109E-2"/>
    <s v="—"/>
    <s v="—"/>
    <n v="30.9"/>
    <s v="Europe"/>
    <m/>
    <m/>
    <m/>
    <m/>
  </r>
  <r>
    <x v="6"/>
    <x v="16"/>
    <n v="515.10865028655405"/>
    <s v="—"/>
    <n v="491.74696036974001"/>
    <x v="244"/>
    <s v="—"/>
    <x v="1"/>
    <s v="—"/>
    <n v="-3.6099372821893599E-2"/>
    <x v="115"/>
    <x v="0"/>
    <x v="0"/>
    <s v="—"/>
    <n v="11.369861600483301"/>
    <s v="—"/>
    <n v="0.169308503579786"/>
    <s v="—"/>
    <s v="—"/>
    <n v="26.8"/>
    <s v="Europe"/>
    <m/>
    <m/>
    <m/>
    <m/>
  </r>
  <r>
    <x v="6"/>
    <x v="17"/>
    <n v="502.837319707831"/>
    <s v="—"/>
    <n v="515.48007697650905"/>
    <x v="245"/>
    <s v="—"/>
    <x v="1"/>
    <s v="—"/>
    <n v="-0.215666099168692"/>
    <x v="115"/>
    <x v="0"/>
    <x v="0"/>
    <s v="—"/>
    <n v="14"/>
    <s v="—"/>
    <n v="8.7539892853140899E-2"/>
    <s v="—"/>
    <s v="—"/>
    <n v="32.9"/>
    <s v="Europe"/>
    <m/>
    <m/>
    <m/>
    <m/>
  </r>
  <r>
    <x v="6"/>
    <x v="18"/>
    <s v="—"/>
    <s v="—"/>
    <s v="—"/>
    <x v="7"/>
    <s v="—"/>
    <x v="1"/>
    <s v="—"/>
    <s v="—"/>
    <x v="115"/>
    <x v="0"/>
    <x v="0"/>
    <s v="—"/>
    <s v="—"/>
    <s v="—"/>
    <s v="—"/>
    <s v="—"/>
    <s v="—"/>
    <n v="40.700000000000003"/>
    <s v="Middle East"/>
    <m/>
    <m/>
    <m/>
    <m/>
  </r>
  <r>
    <x v="6"/>
    <x v="19"/>
    <n v="465.66421007197999"/>
    <s v="—"/>
    <n v="475.66158080912999"/>
    <x v="246"/>
    <s v="—"/>
    <x v="1"/>
    <s v="—"/>
    <n v="-0.32068394273568801"/>
    <x v="115"/>
    <x v="0"/>
    <x v="0"/>
    <s v="—"/>
    <n v="10.0419784484818"/>
    <s v="—"/>
    <n v="5.9396903953744203E-2"/>
    <s v="—"/>
    <s v="—"/>
    <n v="34.9"/>
    <s v="Europe"/>
    <m/>
    <m/>
    <m/>
    <m/>
  </r>
  <r>
    <x v="6"/>
    <x v="20"/>
    <n v="534.13650163647196"/>
    <s v="—"/>
    <n v="498.10520624030198"/>
    <x v="247"/>
    <s v="—"/>
    <x v="1"/>
    <s v="—"/>
    <n v="-0.51184206765719298"/>
    <x v="115"/>
    <x v="0"/>
    <x v="0"/>
    <s v="—"/>
    <n v="14.001718244550499"/>
    <s v="—"/>
    <n v="-0.50080074388252405"/>
    <s v="—"/>
    <s v="—"/>
    <n v="0"/>
    <s v="Asia"/>
    <m/>
    <m/>
    <m/>
    <m/>
  </r>
  <r>
    <x v="6"/>
    <x v="21"/>
    <n v="542.22736964341595"/>
    <s v="—"/>
    <n v="534.09126470026104"/>
    <x v="248"/>
    <s v="—"/>
    <x v="1"/>
    <s v="—"/>
    <n v="-0.40591922998750402"/>
    <x v="115"/>
    <x v="0"/>
    <x v="0"/>
    <s v="—"/>
    <n v="16.357004406654401"/>
    <s v="—"/>
    <n v="-0.36765717641737"/>
    <s v="—"/>
    <s v="—"/>
    <s v="-"/>
    <s v="Asia"/>
    <m/>
    <m/>
    <m/>
    <m/>
  </r>
  <r>
    <x v="6"/>
    <x v="22"/>
    <n v="483.37494883084901"/>
    <s v="—"/>
    <n v="490.56253386056801"/>
    <x v="249"/>
    <s v="—"/>
    <x v="1"/>
    <s v="—"/>
    <n v="-0.16300483846689401"/>
    <x v="115"/>
    <x v="0"/>
    <x v="0"/>
    <s v="—"/>
    <n v="12.712205640853"/>
    <s v="—"/>
    <n v="-0.19627441084357"/>
    <s v="—"/>
    <s v="—"/>
    <n v="36.5"/>
    <s v="Europe"/>
    <m/>
    <m/>
    <m/>
    <m/>
  </r>
  <r>
    <x v="6"/>
    <x v="23"/>
    <s v="—"/>
    <s v="—"/>
    <s v="—"/>
    <x v="7"/>
    <s v="—"/>
    <x v="1"/>
    <s v="—"/>
    <s v="—"/>
    <x v="115"/>
    <x v="0"/>
    <x v="0"/>
    <s v="—"/>
    <s v="—"/>
    <s v="—"/>
    <s v="—"/>
    <s v="—"/>
    <s v="—"/>
    <n v="35.5"/>
    <s v="Europe"/>
    <m/>
    <m/>
    <m/>
    <m/>
  </r>
  <r>
    <x v="6"/>
    <x v="24"/>
    <n v="493.20855658869402"/>
    <s v="—"/>
    <n v="479.42258352955702"/>
    <x v="250"/>
    <s v="—"/>
    <x v="1"/>
    <s v="—"/>
    <n v="-0.48354677207368202"/>
    <x v="115"/>
    <x v="0"/>
    <x v="0"/>
    <s v="—"/>
    <n v="10.252310934824999"/>
    <s v="—"/>
    <n v="0.232900045353235"/>
    <s v="—"/>
    <s v="—"/>
    <n v="30.2"/>
    <s v="Europe"/>
    <m/>
    <m/>
    <m/>
    <m/>
  </r>
  <r>
    <x v="6"/>
    <x v="25"/>
    <n v="385.21833934422301"/>
    <s v="—"/>
    <n v="399.72192751583702"/>
    <x v="251"/>
    <s v="—"/>
    <x v="1"/>
    <s v="—"/>
    <n v="0.22019423503049801"/>
    <x v="115"/>
    <x v="0"/>
    <x v="0"/>
    <s v="—"/>
    <s v="—"/>
    <s v="—"/>
    <n v="8.5039595736409096E-2"/>
    <s v="—"/>
    <s v="—"/>
    <n v="0"/>
    <s v="North America"/>
    <m/>
    <m/>
    <m/>
    <m/>
  </r>
  <r>
    <x v="6"/>
    <x v="26"/>
    <n v="537.82327629883002"/>
    <s v="—"/>
    <n v="513.11897054497899"/>
    <x v="252"/>
    <s v="—"/>
    <x v="1"/>
    <s v="—"/>
    <n v="-0.45534367673571902"/>
    <x v="115"/>
    <x v="0"/>
    <x v="0"/>
    <s v="—"/>
    <n v="15.3671937113692"/>
    <s v="—"/>
    <n v="-4.7005322062710499E-2"/>
    <s v="—"/>
    <s v="—"/>
    <n v="0"/>
    <s v="Europe"/>
    <m/>
    <m/>
    <m/>
    <m/>
  </r>
  <r>
    <x v="6"/>
    <x v="27"/>
    <n v="523.48658487473699"/>
    <s v="—"/>
    <n v="521.55151036560801"/>
    <x v="253"/>
    <s v="—"/>
    <x v="1"/>
    <s v="—"/>
    <n v="-7.0324944723523602E-2"/>
    <x v="115"/>
    <x v="0"/>
    <x v="0"/>
    <s v="—"/>
    <n v="16.461083530539099"/>
    <s v="—"/>
    <n v="4.7194694430289404E-3"/>
    <s v="—"/>
    <s v="—"/>
    <n v="0"/>
    <s v="Oceania"/>
    <m/>
    <m/>
    <m/>
    <m/>
  </r>
  <r>
    <x v="6"/>
    <x v="28"/>
    <n v="495.18539027849101"/>
    <s v="—"/>
    <n v="499.74023387254101"/>
    <x v="254"/>
    <s v="—"/>
    <x v="1"/>
    <s v="—"/>
    <n v="-0.31129645184021698"/>
    <x v="115"/>
    <x v="0"/>
    <x v="0"/>
    <s v="—"/>
    <n v="10"/>
    <s v="—"/>
    <n v="0.241917050630195"/>
    <s v="—"/>
    <s v="—"/>
    <n v="27.6"/>
    <s v="Europe"/>
    <m/>
    <m/>
    <m/>
    <m/>
  </r>
  <r>
    <x v="6"/>
    <x v="29"/>
    <n v="490.23877616912603"/>
    <s v="—"/>
    <n v="496.60526603965099"/>
    <x v="255"/>
    <s v="—"/>
    <x v="1"/>
    <s v="—"/>
    <n v="-0.373582658079602"/>
    <x v="115"/>
    <x v="0"/>
    <x v="0"/>
    <s v="—"/>
    <n v="13.298184610174699"/>
    <s v="—"/>
    <n v="-0.14951649958753599"/>
    <s v="—"/>
    <s v="—"/>
    <n v="34.9"/>
    <s v="Europe"/>
    <m/>
    <m/>
    <m/>
    <m/>
  </r>
  <r>
    <x v="6"/>
    <x v="30"/>
    <n v="466.01669454882301"/>
    <s v="—"/>
    <n v="477.56864560801"/>
    <x v="256"/>
    <s v="—"/>
    <x v="1"/>
    <s v="—"/>
    <n v="2.47043230885577E-2"/>
    <x v="115"/>
    <x v="0"/>
    <x v="0"/>
    <s v="—"/>
    <n v="10.994476731805999"/>
    <s v="—"/>
    <n v="0.10094380312328501"/>
    <s v="—"/>
    <s v="—"/>
    <n v="38.799999999999997"/>
    <s v="Europe"/>
    <m/>
    <m/>
    <m/>
    <m/>
  </r>
  <r>
    <x v="6"/>
    <x v="31"/>
    <n v="498.18345601374898"/>
    <s v="—"/>
    <n v="469.15903330546502"/>
    <x v="257"/>
    <s v="—"/>
    <x v="1"/>
    <s v="—"/>
    <n v="-0.30250930735121101"/>
    <x v="115"/>
    <x v="0"/>
    <x v="0"/>
    <s v="—"/>
    <n v="14.804710663071599"/>
    <s v="—"/>
    <n v="-0.14557431295644299"/>
    <s v="—"/>
    <s v="—"/>
    <s v="-"/>
    <s v="Europe"/>
    <m/>
    <m/>
    <m/>
    <m/>
  </r>
  <r>
    <x v="6"/>
    <x v="32"/>
    <s v="—"/>
    <s v="—"/>
    <s v="—"/>
    <x v="7"/>
    <s v="—"/>
    <x v="1"/>
    <s v="—"/>
    <s v="—"/>
    <x v="115"/>
    <x v="0"/>
    <x v="0"/>
    <s v="—"/>
    <s v="—"/>
    <s v="—"/>
    <s v="—"/>
    <s v="—"/>
    <s v="—"/>
    <n v="30.9"/>
    <s v="Europe"/>
    <m/>
    <m/>
    <m/>
    <m/>
  </r>
  <r>
    <x v="6"/>
    <x v="33"/>
    <n v="485.10805648692201"/>
    <s v="—"/>
    <n v="480.53799071370099"/>
    <x v="258"/>
    <s v="—"/>
    <x v="1"/>
    <s v="—"/>
    <n v="-0.273736502839309"/>
    <x v="115"/>
    <x v="0"/>
    <x v="0"/>
    <s v="—"/>
    <n v="14"/>
    <s v="—"/>
    <n v="0.20774099243569699"/>
    <s v="—"/>
    <s v="—"/>
    <n v="31.8"/>
    <s v="Europe"/>
    <m/>
    <m/>
    <m/>
    <m/>
  </r>
  <r>
    <x v="6"/>
    <x v="34"/>
    <n v="509.04644906409499"/>
    <s v="—"/>
    <n v="514.26741266579995"/>
    <x v="259"/>
    <s v="—"/>
    <x v="1"/>
    <s v="—"/>
    <n v="-3.7547687997479998E-2"/>
    <x v="115"/>
    <x v="0"/>
    <x v="0"/>
    <s v="—"/>
    <n v="12.397517446731699"/>
    <s v="—"/>
    <n v="0.25167703664751701"/>
    <s v="—"/>
    <s v="—"/>
    <n v="25.3"/>
    <s v="Europe"/>
    <m/>
    <m/>
    <m/>
    <m/>
  </r>
  <r>
    <x v="6"/>
    <x v="35"/>
    <n v="526.55314814433996"/>
    <s v="—"/>
    <n v="499.12139915198702"/>
    <x v="260"/>
    <s v="—"/>
    <x v="1"/>
    <s v="—"/>
    <n v="-0.20546474157813599"/>
    <x v="115"/>
    <x v="0"/>
    <x v="0"/>
    <s v="—"/>
    <n v="13"/>
    <s v="—"/>
    <n v="0.19649684347582699"/>
    <s v="—"/>
    <s v="—"/>
    <n v="0"/>
    <s v="Europe"/>
    <m/>
    <m/>
    <m/>
    <m/>
  </r>
  <r>
    <x v="6"/>
    <x v="36"/>
    <n v="423.41941009498998"/>
    <s v="—"/>
    <n v="440.97098880115601"/>
    <x v="261"/>
    <s v="—"/>
    <x v="1"/>
    <s v="—"/>
    <n v="0.15309783964232401"/>
    <x v="115"/>
    <x v="0"/>
    <x v="0"/>
    <s v="—"/>
    <n v="22"/>
    <s v="—"/>
    <n v="-0.42005286604132003"/>
    <s v="—"/>
    <s v="—"/>
    <n v="42.2"/>
    <s v="Middle East"/>
    <m/>
    <m/>
    <m/>
    <m/>
  </r>
  <r>
    <x v="6"/>
    <x v="37"/>
    <n v="508.25808159830302"/>
    <s v="—"/>
    <n v="507.01274902318499"/>
    <x v="262"/>
    <s v="—"/>
    <x v="1"/>
    <s v="—"/>
    <n v="-5.4286716949514403E-2"/>
    <x v="115"/>
    <x v="0"/>
    <x v="0"/>
    <s v="—"/>
    <n v="15.544137127721999"/>
    <s v="—"/>
    <n v="9.1320410101468796E-2"/>
    <s v="—"/>
    <s v="—"/>
    <n v="34.9"/>
    <s v="Europe"/>
    <m/>
    <m/>
    <m/>
    <m/>
  </r>
  <r>
    <x v="6"/>
    <x v="38"/>
    <n v="482.88278947585098"/>
    <s v="—"/>
    <n v="495.185865174036"/>
    <x v="263"/>
    <s v="—"/>
    <x v="1"/>
    <s v="—"/>
    <n v="9.1466331468796597E-2"/>
    <x v="115"/>
    <x v="0"/>
    <x v="0"/>
    <s v="—"/>
    <n v="16"/>
    <s v="—"/>
    <s v="—"/>
    <s v="—"/>
    <s v="—"/>
    <n v="40.799999999999997"/>
    <s v="North America"/>
    <m/>
    <m/>
    <m/>
    <m/>
  </r>
  <r>
    <x v="7"/>
    <x v="0"/>
    <s v="—"/>
    <s v="—"/>
    <n v="493.49098699023898"/>
    <x v="264"/>
    <s v="—"/>
    <x v="1"/>
    <s v="—"/>
    <s v="—"/>
    <x v="147"/>
    <x v="129"/>
    <x v="130"/>
    <s v="—"/>
    <n v="13.8950135532142"/>
    <s v="—"/>
    <s v="—"/>
    <s v="—"/>
    <s v="—"/>
    <s v="-"/>
    <s v="-"/>
    <m/>
    <m/>
    <m/>
    <m/>
  </r>
  <r>
    <x v="7"/>
    <x v="1"/>
    <s v="—"/>
    <s v="—"/>
    <n v="528.27850464555604"/>
    <x v="265"/>
    <s v="—"/>
    <x v="1"/>
    <s v="—"/>
    <s v="—"/>
    <x v="148"/>
    <x v="130"/>
    <x v="131"/>
    <s v="—"/>
    <n v="13.7070513300604"/>
    <s v="—"/>
    <s v="—"/>
    <s v="—"/>
    <s v="—"/>
    <n v="0"/>
    <s v="Oceania"/>
    <m/>
    <m/>
    <m/>
    <m/>
  </r>
  <r>
    <x v="7"/>
    <x v="2"/>
    <s v="—"/>
    <s v="—"/>
    <n v="492.05600717267902"/>
    <x v="266"/>
    <s v="—"/>
    <x v="1"/>
    <s v="—"/>
    <s v="—"/>
    <x v="149"/>
    <x v="131"/>
    <x v="132"/>
    <s v="—"/>
    <n v="12.6378451650555"/>
    <s v="—"/>
    <s v="—"/>
    <s v="—"/>
    <s v="—"/>
    <n v="29"/>
    <s v="Europe"/>
    <m/>
    <m/>
    <m/>
    <m/>
  </r>
  <r>
    <x v="7"/>
    <x v="3"/>
    <s v="—"/>
    <s v="—"/>
    <n v="507.12589041176301"/>
    <x v="267"/>
    <s v="—"/>
    <x v="1"/>
    <s v="—"/>
    <s v="—"/>
    <x v="150"/>
    <x v="132"/>
    <x v="133"/>
    <s v="—"/>
    <n v="9.7450709908156696"/>
    <s v="—"/>
    <s v="—"/>
    <s v="—"/>
    <s v="—"/>
    <n v="33.1"/>
    <s v="Europe"/>
    <m/>
    <m/>
    <m/>
    <m/>
  </r>
  <r>
    <x v="7"/>
    <x v="4"/>
    <s v="—"/>
    <s v="—"/>
    <n v="534.31271906357802"/>
    <x v="268"/>
    <s v="—"/>
    <x v="1"/>
    <s v="—"/>
    <s v="—"/>
    <x v="151"/>
    <x v="133"/>
    <x v="134"/>
    <s v="—"/>
    <s v="—"/>
    <s v="—"/>
    <s v="—"/>
    <s v="—"/>
    <s v="—"/>
    <n v="33.4"/>
    <s v="North America"/>
    <m/>
    <m/>
    <m/>
    <m/>
  </r>
  <r>
    <x v="7"/>
    <x v="5"/>
    <s v="—"/>
    <s v="—"/>
    <n v="409.55678198189599"/>
    <x v="269"/>
    <s v="—"/>
    <x v="1"/>
    <s v="—"/>
    <s v="—"/>
    <x v="152"/>
    <x v="134"/>
    <x v="135"/>
    <s v="—"/>
    <n v="29"/>
    <s v="—"/>
    <s v="—"/>
    <s v="—"/>
    <s v="—"/>
    <n v="52.8"/>
    <s v="South America"/>
    <m/>
    <m/>
    <m/>
    <m/>
  </r>
  <r>
    <x v="7"/>
    <x v="6"/>
    <s v="—"/>
    <s v="—"/>
    <s v="—"/>
    <x v="7"/>
    <s v="—"/>
    <x v="1"/>
    <s v="—"/>
    <s v="—"/>
    <x v="115"/>
    <x v="0"/>
    <x v="0"/>
    <s v="—"/>
    <s v="—"/>
    <s v="—"/>
    <s v="—"/>
    <s v="—"/>
    <s v="—"/>
    <s v="-"/>
    <s v="South America"/>
    <m/>
    <m/>
    <m/>
    <m/>
  </r>
  <r>
    <x v="7"/>
    <x v="7"/>
    <s v="—"/>
    <s v="—"/>
    <s v="—"/>
    <x v="7"/>
    <s v="—"/>
    <x v="1"/>
    <s v="—"/>
    <s v="—"/>
    <x v="115"/>
    <x v="0"/>
    <x v="0"/>
    <s v="—"/>
    <s v="—"/>
    <s v="—"/>
    <s v="—"/>
    <s v="—"/>
    <s v="—"/>
    <s v="-"/>
    <s v="North America"/>
    <m/>
    <m/>
    <m/>
    <m/>
  </r>
  <r>
    <x v="7"/>
    <x v="8"/>
    <s v="—"/>
    <s v="—"/>
    <n v="491.577032406532"/>
    <x v="270"/>
    <s v="—"/>
    <x v="1"/>
    <s v="—"/>
    <s v="—"/>
    <x v="153"/>
    <x v="135"/>
    <x v="136"/>
    <s v="—"/>
    <n v="15.455733170685299"/>
    <s v="—"/>
    <s v="—"/>
    <s v="—"/>
    <s v="—"/>
    <n v="0"/>
    <s v="Europe"/>
    <m/>
    <m/>
    <m/>
    <m/>
  </r>
  <r>
    <x v="7"/>
    <x v="9"/>
    <s v="—"/>
    <s v="—"/>
    <n v="496.87096638103202"/>
    <x v="271"/>
    <s v="—"/>
    <x v="1"/>
    <s v="—"/>
    <s v="—"/>
    <x v="4"/>
    <x v="86"/>
    <x v="137"/>
    <s v="—"/>
    <n v="11.4307763264922"/>
    <s v="—"/>
    <s v="—"/>
    <s v="—"/>
    <s v="—"/>
    <n v="23.8"/>
    <s v="Europe"/>
    <m/>
    <m/>
    <m/>
    <m/>
  </r>
  <r>
    <x v="7"/>
    <x v="10"/>
    <s v="—"/>
    <s v="—"/>
    <s v="—"/>
    <x v="7"/>
    <s v="—"/>
    <x v="1"/>
    <s v="—"/>
    <s v="—"/>
    <x v="115"/>
    <x v="0"/>
    <x v="0"/>
    <s v="—"/>
    <s v="—"/>
    <s v="—"/>
    <s v="—"/>
    <s v="—"/>
    <s v="—"/>
    <n v="35.799999999999997"/>
    <s v="Europe"/>
    <m/>
    <m/>
    <m/>
    <m/>
  </r>
  <r>
    <x v="7"/>
    <x v="11"/>
    <s v="—"/>
    <s v="—"/>
    <n v="546.46914455615104"/>
    <x v="272"/>
    <s v="—"/>
    <x v="1"/>
    <s v="—"/>
    <s v="—"/>
    <x v="154"/>
    <x v="136"/>
    <x v="138"/>
    <s v="—"/>
    <n v="11.2777634759139"/>
    <s v="—"/>
    <s v="—"/>
    <s v="—"/>
    <s v="—"/>
    <n v="27.2"/>
    <s v="Europe"/>
    <m/>
    <m/>
    <m/>
    <m/>
  </r>
  <r>
    <x v="7"/>
    <x v="12"/>
    <s v="—"/>
    <s v="—"/>
    <n v="504.74238850818301"/>
    <x v="273"/>
    <s v="—"/>
    <x v="1"/>
    <s v="—"/>
    <s v="—"/>
    <x v="155"/>
    <x v="137"/>
    <x v="139"/>
    <s v="—"/>
    <n v="12"/>
    <s v="—"/>
    <s v="—"/>
    <s v="—"/>
    <s v="—"/>
    <n v="32.6"/>
    <s v="Europe"/>
    <m/>
    <m/>
    <m/>
    <m/>
  </r>
  <r>
    <x v="7"/>
    <x v="13"/>
    <s v="—"/>
    <s v="—"/>
    <n v="483.99082368004503"/>
    <x v="274"/>
    <s v="—"/>
    <x v="1"/>
    <s v="—"/>
    <s v="—"/>
    <x v="156"/>
    <x v="138"/>
    <x v="140"/>
    <s v="—"/>
    <n v="18"/>
    <s v="—"/>
    <s v="—"/>
    <s v="—"/>
    <s v="—"/>
    <n v="28.9"/>
    <s v="Europe"/>
    <m/>
    <m/>
    <m/>
    <m/>
  </r>
  <r>
    <x v="7"/>
    <x v="14"/>
    <s v="—"/>
    <s v="—"/>
    <n v="473.79885132714202"/>
    <x v="275"/>
    <s v="—"/>
    <x v="1"/>
    <s v="—"/>
    <s v="—"/>
    <x v="4"/>
    <x v="4"/>
    <x v="11"/>
    <s v="—"/>
    <n v="10.331705911351699"/>
    <s v="—"/>
    <s v="—"/>
    <s v="—"/>
    <s v="—"/>
    <n v="34.4"/>
    <s v="Europe"/>
    <m/>
    <m/>
    <m/>
    <m/>
  </r>
  <r>
    <x v="7"/>
    <x v="15"/>
    <s v="—"/>
    <s v="—"/>
    <n v="479.96677766687799"/>
    <x v="276"/>
    <s v="—"/>
    <x v="1"/>
    <s v="—"/>
    <s v="—"/>
    <x v="157"/>
    <x v="139"/>
    <x v="141"/>
    <s v="—"/>
    <n v="10.649059174991599"/>
    <s v="—"/>
    <s v="—"/>
    <s v="—"/>
    <s v="—"/>
    <n v="27.2"/>
    <s v="Europe"/>
    <m/>
    <m/>
    <m/>
    <m/>
  </r>
  <r>
    <x v="7"/>
    <x v="16"/>
    <s v="—"/>
    <s v="—"/>
    <n v="506.93046160478502"/>
    <x v="277"/>
    <s v="—"/>
    <x v="1"/>
    <s v="—"/>
    <s v="—"/>
    <x v="158"/>
    <x v="140"/>
    <x v="142"/>
    <s v="—"/>
    <n v="13.014234079301501"/>
    <s v="—"/>
    <s v="—"/>
    <s v="—"/>
    <s v="—"/>
    <n v="0"/>
    <s v="Europe"/>
    <m/>
    <m/>
    <m/>
    <m/>
  </r>
  <r>
    <x v="7"/>
    <x v="17"/>
    <s v="—"/>
    <s v="—"/>
    <n v="526.66864916239297"/>
    <x v="278"/>
    <s v="—"/>
    <x v="1"/>
    <s v="—"/>
    <s v="—"/>
    <x v="159"/>
    <x v="141"/>
    <x v="143"/>
    <s v="—"/>
    <n v="15.023864287307299"/>
    <s v="—"/>
    <s v="—"/>
    <s v="—"/>
    <s v="—"/>
    <n v="33"/>
    <s v="Europe"/>
    <m/>
    <m/>
    <m/>
    <m/>
  </r>
  <r>
    <x v="7"/>
    <x v="18"/>
    <s v="—"/>
    <s v="—"/>
    <n v="452.17240434671498"/>
    <x v="279"/>
    <s v="—"/>
    <x v="1"/>
    <s v="—"/>
    <s v="—"/>
    <x v="36"/>
    <x v="106"/>
    <x v="87"/>
    <s v="—"/>
    <n v="12"/>
    <s v="—"/>
    <s v="—"/>
    <s v="—"/>
    <s v="—"/>
    <n v="0"/>
    <s v="Middle East"/>
    <m/>
    <m/>
    <m/>
    <m/>
  </r>
  <r>
    <x v="7"/>
    <x v="19"/>
    <s v="—"/>
    <s v="—"/>
    <n v="487.46964519571401"/>
    <x v="280"/>
    <s v="—"/>
    <x v="1"/>
    <s v="—"/>
    <s v="—"/>
    <x v="160"/>
    <x v="142"/>
    <x v="144"/>
    <s v="—"/>
    <n v="9.1587145040671505"/>
    <s v="—"/>
    <s v="—"/>
    <s v="—"/>
    <s v="—"/>
    <n v="35.200000000000003"/>
    <s v="Europe"/>
    <m/>
    <m/>
    <m/>
    <m/>
  </r>
  <r>
    <x v="7"/>
    <x v="20"/>
    <s v="—"/>
    <s v="—"/>
    <n v="522.23492859232601"/>
    <x v="24"/>
    <s v="—"/>
    <x v="1"/>
    <s v="—"/>
    <s v="—"/>
    <x v="36"/>
    <x v="32"/>
    <x v="90"/>
    <s v="—"/>
    <n v="15.096503676615599"/>
    <s v="—"/>
    <s v="—"/>
    <s v="—"/>
    <s v="—"/>
    <n v="0"/>
    <s v="Asia"/>
    <m/>
    <m/>
    <m/>
    <m/>
  </r>
  <r>
    <x v="7"/>
    <x v="21"/>
    <s v="—"/>
    <s v="—"/>
    <n v="524.75429869978802"/>
    <x v="281"/>
    <s v="—"/>
    <x v="1"/>
    <s v="—"/>
    <s v="—"/>
    <x v="161"/>
    <x v="143"/>
    <x v="145"/>
    <s v="—"/>
    <n v="21.006435545265798"/>
    <s v="—"/>
    <s v="—"/>
    <s v="—"/>
    <s v="—"/>
    <s v="-"/>
    <s v="Asia"/>
    <m/>
    <m/>
    <m/>
    <m/>
  </r>
  <r>
    <x v="7"/>
    <x v="22"/>
    <s v="—"/>
    <s v="—"/>
    <n v="458.07108201582298"/>
    <x v="282"/>
    <s v="—"/>
    <x v="1"/>
    <s v="—"/>
    <s v="—"/>
    <x v="162"/>
    <x v="144"/>
    <x v="146"/>
    <s v="—"/>
    <n v="12"/>
    <s v="—"/>
    <s v="—"/>
    <s v="—"/>
    <s v="—"/>
    <n v="0"/>
    <s v="Europe"/>
    <m/>
    <m/>
    <m/>
    <m/>
  </r>
  <r>
    <x v="7"/>
    <x v="23"/>
    <s v="—"/>
    <s v="—"/>
    <s v="—"/>
    <x v="7"/>
    <s v="—"/>
    <x v="1"/>
    <s v="—"/>
    <s v="—"/>
    <x v="115"/>
    <x v="0"/>
    <x v="0"/>
    <s v="—"/>
    <s v="—"/>
    <s v="—"/>
    <s v="—"/>
    <s v="—"/>
    <s v="—"/>
    <n v="31.7"/>
    <s v="Europe"/>
    <m/>
    <m/>
    <m/>
    <m/>
  </r>
  <r>
    <x v="7"/>
    <x v="24"/>
    <s v="—"/>
    <s v="—"/>
    <n v="441.24582260618098"/>
    <x v="283"/>
    <s v="—"/>
    <x v="1"/>
    <s v="—"/>
    <s v="—"/>
    <x v="163"/>
    <x v="145"/>
    <x v="147"/>
    <s v="—"/>
    <n v="9.4165142856629895"/>
    <s v="—"/>
    <s v="—"/>
    <s v="—"/>
    <s v="—"/>
    <n v="30.1"/>
    <s v="Europe"/>
    <m/>
    <m/>
    <m/>
    <m/>
  </r>
  <r>
    <x v="7"/>
    <x v="25"/>
    <s v="—"/>
    <s v="—"/>
    <n v="421.96063013990198"/>
    <x v="284"/>
    <s v="—"/>
    <x v="1"/>
    <s v="—"/>
    <s v="—"/>
    <x v="164"/>
    <x v="146"/>
    <x v="148"/>
    <s v="—"/>
    <n v="27"/>
    <s v="—"/>
    <s v="—"/>
    <s v="—"/>
    <s v="—"/>
    <n v="53.4"/>
    <s v="North America"/>
    <m/>
    <m/>
    <m/>
    <m/>
  </r>
  <r>
    <x v="7"/>
    <x v="26"/>
    <s v="—"/>
    <s v="—"/>
    <m/>
    <x v="24"/>
    <s v="—"/>
    <x v="1"/>
    <s v="—"/>
    <s v="—"/>
    <x v="23"/>
    <x v="1"/>
    <x v="1"/>
    <s v="—"/>
    <m/>
    <s v="—"/>
    <s v="—"/>
    <s v="—"/>
    <s v="—"/>
    <n v="0"/>
    <s v="Europe"/>
    <m/>
    <m/>
    <m/>
    <m/>
  </r>
  <r>
    <x v="7"/>
    <x v="27"/>
    <s v="—"/>
    <s v="—"/>
    <n v="528.79973199073504"/>
    <x v="285"/>
    <s v="—"/>
    <x v="1"/>
    <s v="—"/>
    <s v="—"/>
    <x v="165"/>
    <x v="147"/>
    <x v="149"/>
    <s v="—"/>
    <n v="12.495472339155"/>
    <s v="—"/>
    <s v="—"/>
    <s v="—"/>
    <s v="—"/>
    <n v="0"/>
    <s v="Oceania"/>
    <m/>
    <m/>
    <m/>
    <m/>
  </r>
  <r>
    <x v="7"/>
    <x v="28"/>
    <s v="—"/>
    <s v="—"/>
    <n v="505.28098857243702"/>
    <x v="286"/>
    <s v="—"/>
    <x v="1"/>
    <s v="—"/>
    <s v="—"/>
    <x v="4"/>
    <x v="92"/>
    <x v="84"/>
    <s v="—"/>
    <n v="9.0175730467434292"/>
    <s v="—"/>
    <s v="—"/>
    <s v="—"/>
    <s v="—"/>
    <n v="27.4"/>
    <s v="Europe"/>
    <m/>
    <m/>
    <m/>
    <m/>
  </r>
  <r>
    <x v="7"/>
    <x v="29"/>
    <s v="—"/>
    <s v="—"/>
    <n v="479.12168786049"/>
    <x v="287"/>
    <s v="—"/>
    <x v="1"/>
    <s v="—"/>
    <s v="—"/>
    <x v="166"/>
    <x v="148"/>
    <x v="150"/>
    <s v="—"/>
    <n v="12.585948193373699"/>
    <s v="—"/>
    <s v="—"/>
    <s v="—"/>
    <s v="—"/>
    <n v="33"/>
    <s v="Europe"/>
    <m/>
    <m/>
    <m/>
    <m/>
  </r>
  <r>
    <x v="7"/>
    <x v="30"/>
    <s v="—"/>
    <s v="—"/>
    <n v="470.154622154989"/>
    <x v="288"/>
    <s v="—"/>
    <x v="1"/>
    <s v="—"/>
    <s v="—"/>
    <x v="167"/>
    <x v="82"/>
    <x v="151"/>
    <s v="—"/>
    <n v="8.8945068704734194"/>
    <s v="—"/>
    <s v="—"/>
    <s v="—"/>
    <s v="—"/>
    <n v="0"/>
    <s v="Europe"/>
    <m/>
    <m/>
    <m/>
    <m/>
  </r>
  <r>
    <x v="7"/>
    <x v="31"/>
    <s v="—"/>
    <s v="—"/>
    <s v="—"/>
    <x v="7"/>
    <s v="—"/>
    <x v="1"/>
    <s v="—"/>
    <s v="—"/>
    <x v="115"/>
    <x v="0"/>
    <x v="0"/>
    <s v="—"/>
    <s v="—"/>
    <s v="—"/>
    <s v="—"/>
    <s v="—"/>
    <s v="—"/>
    <s v="-"/>
    <s v="Europe"/>
    <m/>
    <m/>
    <m/>
    <m/>
  </r>
  <r>
    <x v="7"/>
    <x v="32"/>
    <s v="—"/>
    <s v="—"/>
    <s v="—"/>
    <x v="7"/>
    <s v="—"/>
    <x v="1"/>
    <s v="—"/>
    <s v="—"/>
    <x v="115"/>
    <x v="0"/>
    <x v="0"/>
    <s v="—"/>
    <s v="—"/>
    <s v="—"/>
    <s v="—"/>
    <s v="—"/>
    <s v="—"/>
    <n v="0"/>
    <s v="Europe"/>
    <m/>
    <m/>
    <m/>
    <m/>
  </r>
  <r>
    <x v="7"/>
    <x v="33"/>
    <s v="—"/>
    <s v="—"/>
    <n v="492.552969076338"/>
    <x v="289"/>
    <s v="—"/>
    <x v="1"/>
    <s v="—"/>
    <s v="—"/>
    <x v="168"/>
    <x v="149"/>
    <x v="152"/>
    <s v="—"/>
    <n v="14.8158794159087"/>
    <s v="—"/>
    <s v="—"/>
    <s v="—"/>
    <s v="—"/>
    <n v="34.1"/>
    <s v="Europe"/>
    <m/>
    <m/>
    <m/>
    <m/>
  </r>
  <r>
    <x v="7"/>
    <x v="34"/>
    <s v="—"/>
    <s v="—"/>
    <n v="516.33118578200697"/>
    <x v="290"/>
    <s v="—"/>
    <x v="1"/>
    <s v="—"/>
    <s v="—"/>
    <x v="169"/>
    <x v="150"/>
    <x v="153"/>
    <s v="—"/>
    <n v="12.646524031203001"/>
    <s v="—"/>
    <s v="—"/>
    <s v="—"/>
    <s v="—"/>
    <n v="27"/>
    <s v="Europe"/>
    <m/>
    <m/>
    <m/>
    <m/>
  </r>
  <r>
    <x v="7"/>
    <x v="35"/>
    <s v="—"/>
    <s v="—"/>
    <n v="494.37161887512502"/>
    <x v="291"/>
    <s v="—"/>
    <x v="1"/>
    <s v="—"/>
    <s v="—"/>
    <x v="170"/>
    <x v="151"/>
    <x v="154"/>
    <s v="—"/>
    <n v="12.1176984469527"/>
    <s v="—"/>
    <s v="—"/>
    <s v="—"/>
    <s v="—"/>
    <n v="33.4"/>
    <s v="Europe"/>
    <m/>
    <m/>
    <m/>
    <m/>
  </r>
  <r>
    <x v="7"/>
    <x v="36"/>
    <s v="—"/>
    <s v="—"/>
    <s v="—"/>
    <x v="7"/>
    <s v="—"/>
    <x v="1"/>
    <s v="—"/>
    <s v="—"/>
    <x v="115"/>
    <x v="0"/>
    <x v="0"/>
    <s v="—"/>
    <s v="—"/>
    <s v="—"/>
    <s v="—"/>
    <s v="—"/>
    <s v="—"/>
    <n v="0"/>
    <s v="Middle East"/>
    <m/>
    <m/>
    <m/>
    <m/>
  </r>
  <r>
    <x v="7"/>
    <x v="37"/>
    <s v="—"/>
    <s v="—"/>
    <n v="523.44330365508802"/>
    <x v="292"/>
    <s v="—"/>
    <x v="1"/>
    <s v="—"/>
    <s v="—"/>
    <x v="171"/>
    <x v="152"/>
    <x v="155"/>
    <s v="—"/>
    <n v="16.077981481718499"/>
    <s v="—"/>
    <s v="—"/>
    <s v="—"/>
    <s v="—"/>
    <n v="38.799999999999997"/>
    <s v="Europe"/>
    <m/>
    <m/>
    <m/>
    <m/>
  </r>
  <r>
    <x v="7"/>
    <x v="38"/>
    <s v="—"/>
    <s v="—"/>
    <n v="504.41969157489302"/>
    <x v="293"/>
    <s v="—"/>
    <x v="1"/>
    <s v="—"/>
    <s v="—"/>
    <x v="172"/>
    <x v="153"/>
    <x v="156"/>
    <s v="—"/>
    <n v="15"/>
    <s v="—"/>
    <s v="—"/>
    <s v="—"/>
    <s v="—"/>
    <n v="40.1"/>
    <s v="North America"/>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CE817-3BD2-3D44-B428-1D9C403EE7EE}" name="Tableau croisé dynamique1" cacheId="1"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chartFormat="1">
  <location ref="A3:C12" firstHeaderRow="0" firstDataRow="1" firstDataCol="1" rowPageCount="1" colPageCount="1"/>
  <pivotFields count="25">
    <pivotField axis="axisRow" compact="0" outline="0" showAll="0">
      <items count="9">
        <item x="7"/>
        <item x="6"/>
        <item x="5"/>
        <item x="4"/>
        <item x="3"/>
        <item x="2"/>
        <item x="1"/>
        <item x="0"/>
        <item t="default"/>
      </items>
    </pivotField>
    <pivotField axis="axisPage" compact="0" outline="0" multipleItemSelectionAllowed="1" showAll="0">
      <items count="40">
        <item h="1" x="1"/>
        <item h="1" x="2"/>
        <item h="1" x="3"/>
        <item h="1" x="4"/>
        <item h="1" x="5"/>
        <item h="1" x="6"/>
        <item h="1" x="7"/>
        <item h="1" x="8"/>
        <item h="1" x="9"/>
        <item h="1" x="10"/>
        <item h="1" x="11"/>
        <item x="12"/>
        <item h="1" x="13"/>
        <item h="1" x="14"/>
        <item h="1" x="15"/>
        <item h="1" x="16"/>
        <item h="1" x="0"/>
        <item h="1" x="17"/>
        <item h="1" x="18"/>
        <item h="1" x="19"/>
        <item h="1" x="20"/>
        <item h="1" x="21"/>
        <item h="1" x="22"/>
        <item h="1" x="23"/>
        <item h="1" x="24"/>
        <item h="1" x="25"/>
        <item h="1" x="26"/>
        <item h="1" x="27"/>
        <item h="1" x="28"/>
        <item h="1" x="29"/>
        <item h="1" x="30"/>
        <item h="1" x="31"/>
        <item h="1" x="32"/>
        <item h="1" x="33"/>
        <item h="1" x="34"/>
        <item h="1" x="35"/>
        <item h="1" x="36"/>
        <item h="1" x="37"/>
        <item h="1" x="38"/>
        <item t="default"/>
      </items>
    </pivotField>
    <pivotField compact="0" outline="0" showAll="0"/>
    <pivotField compact="0" outline="0" showAll="0"/>
    <pivotField compact="0" outline="0" showAll="0"/>
    <pivotField dataField="1" compact="0" outline="0" showAll="0">
      <items count="295">
        <item x="153"/>
        <item x="114"/>
        <item x="75"/>
        <item x="36"/>
        <item x="123"/>
        <item x="229"/>
        <item x="142"/>
        <item x="269"/>
        <item x="103"/>
        <item x="251"/>
        <item x="199"/>
        <item x="64"/>
        <item x="122"/>
        <item x="6"/>
        <item x="180"/>
        <item x="191"/>
        <item x="162"/>
        <item x="261"/>
        <item x="45"/>
        <item x="223"/>
        <item x="218"/>
        <item x="124"/>
        <item x="200"/>
        <item x="284"/>
        <item x="84"/>
        <item x="25"/>
        <item x="147"/>
        <item x="281"/>
        <item x="46"/>
        <item x="148"/>
        <item x="161"/>
        <item x="256"/>
        <item x="288"/>
        <item x="44"/>
        <item x="5"/>
        <item x="185"/>
        <item x="258"/>
        <item x="222"/>
        <item x="83"/>
        <item x="184"/>
        <item x="283"/>
        <item x="226"/>
        <item x="255"/>
        <item x="289"/>
        <item x="146"/>
        <item x="85"/>
        <item x="186"/>
        <item x="107"/>
        <item x="188"/>
        <item x="287"/>
        <item x="132"/>
        <item x="248"/>
        <item x="212"/>
        <item x="136"/>
        <item x="246"/>
        <item x="174"/>
        <item x="167"/>
        <item x="242"/>
        <item x="150"/>
        <item x="234"/>
        <item x="280"/>
        <item x="125"/>
        <item x="224"/>
        <item x="58"/>
        <item x="177"/>
        <item x="86"/>
        <item x="31"/>
        <item x="93"/>
        <item x="170"/>
        <item x="217"/>
        <item x="275"/>
        <item x="109"/>
        <item x="208"/>
        <item x="111"/>
        <item x="179"/>
        <item x="163"/>
        <item x="139"/>
        <item x="250"/>
        <item x="201"/>
        <item x="273"/>
        <item x="207"/>
        <item x="196"/>
        <item x="270"/>
        <item x="245"/>
        <item x="158"/>
        <item x="278"/>
        <item x="215"/>
        <item x="194"/>
        <item x="131"/>
        <item x="70"/>
        <item x="243"/>
        <item x="72"/>
        <item x="108"/>
        <item x="205"/>
        <item x="266"/>
        <item x="240"/>
        <item x="264"/>
        <item x="169"/>
        <item x="102"/>
        <item x="257"/>
        <item x="204"/>
        <item x="232"/>
        <item x="274"/>
        <item x="168"/>
        <item x="119"/>
        <item x="267"/>
        <item x="210"/>
        <item x="156"/>
        <item x="206"/>
        <item x="47"/>
        <item x="141"/>
        <item x="291"/>
        <item x="228"/>
        <item x="238"/>
        <item x="260"/>
        <item x="241"/>
        <item x="202"/>
        <item x="19"/>
        <item x="69"/>
        <item x="276"/>
        <item x="178"/>
        <item x="262"/>
        <item x="97"/>
        <item x="216"/>
        <item x="271"/>
        <item x="68"/>
        <item x="192"/>
        <item x="197"/>
        <item x="140"/>
        <item x="225"/>
        <item x="172"/>
        <item x="247"/>
        <item x="272"/>
        <item x="92"/>
        <item x="137"/>
        <item x="214"/>
        <item x="117"/>
        <item x="237"/>
        <item x="176"/>
        <item x="159"/>
        <item x="53"/>
        <item x="282"/>
        <item x="165"/>
        <item x="239"/>
        <item x="213"/>
        <item x="249"/>
        <item x="203"/>
        <item x="187"/>
        <item x="290"/>
        <item x="98"/>
        <item x="235"/>
        <item x="190"/>
        <item x="259"/>
        <item x="230"/>
        <item x="227"/>
        <item x="127"/>
        <item x="54"/>
        <item x="41"/>
        <item x="8"/>
        <item x="130"/>
        <item x="164"/>
        <item x="100"/>
        <item x="30"/>
        <item x="33"/>
        <item x="15"/>
        <item x="14"/>
        <item x="149"/>
        <item x="292"/>
        <item x="252"/>
        <item x="90"/>
        <item x="80"/>
        <item x="78"/>
        <item x="63"/>
        <item x="219"/>
        <item x="253"/>
        <item x="51"/>
        <item x="181"/>
        <item x="175"/>
        <item x="91"/>
        <item x="101"/>
        <item x="220"/>
        <item x="120"/>
        <item x="52"/>
        <item x="129"/>
        <item x="13"/>
        <item x="193"/>
        <item x="29"/>
        <item x="39"/>
        <item x="99"/>
        <item x="182"/>
        <item x="285"/>
        <item x="22"/>
        <item x="189"/>
        <item x="59"/>
        <item x="265"/>
        <item x="71"/>
        <item x="110"/>
        <item x="88"/>
        <item x="293"/>
        <item x="42"/>
        <item x="134"/>
        <item x="60"/>
        <item x="231"/>
        <item x="236"/>
        <item x="74"/>
        <item x="233"/>
        <item x="81"/>
        <item x="277"/>
        <item x="56"/>
        <item x="268"/>
        <item x="95"/>
        <item x="89"/>
        <item x="195"/>
        <item x="113"/>
        <item x="2"/>
        <item x="166"/>
        <item x="12"/>
        <item x="62"/>
        <item x="173"/>
        <item x="221"/>
        <item x="157"/>
        <item x="160"/>
        <item x="138"/>
        <item x="3"/>
        <item x="211"/>
        <item x="49"/>
        <item x="61"/>
        <item x="198"/>
        <item x="0"/>
        <item x="244"/>
        <item x="286"/>
        <item x="20"/>
        <item x="209"/>
        <item x="116"/>
        <item x="155"/>
        <item x="104"/>
        <item x="263"/>
        <item x="151"/>
        <item x="254"/>
        <item x="126"/>
        <item x="23"/>
        <item x="35"/>
        <item x="10"/>
        <item x="152"/>
        <item x="144"/>
        <item x="38"/>
        <item x="65"/>
        <item x="279"/>
        <item x="121"/>
        <item x="183"/>
        <item x="11"/>
        <item x="128"/>
        <item x="154"/>
        <item x="77"/>
        <item x="50"/>
        <item x="40"/>
        <item x="171"/>
        <item x="87"/>
        <item x="26"/>
        <item x="66"/>
        <item x="143"/>
        <item x="115"/>
        <item x="37"/>
        <item x="105"/>
        <item x="118"/>
        <item x="79"/>
        <item x="43"/>
        <item x="32"/>
        <item x="112"/>
        <item x="21"/>
        <item x="27"/>
        <item x="76"/>
        <item x="82"/>
        <item x="133"/>
        <item x="135"/>
        <item x="4"/>
        <item x="145"/>
        <item x="34"/>
        <item x="1"/>
        <item x="73"/>
        <item x="17"/>
        <item x="96"/>
        <item x="48"/>
        <item x="94"/>
        <item x="57"/>
        <item x="16"/>
        <item x="55"/>
        <item x="67"/>
        <item x="106"/>
        <item x="18"/>
        <item x="28"/>
        <item x="9"/>
        <item x="7"/>
        <item x="24"/>
        <item t="default"/>
      </items>
    </pivotField>
    <pivotField compact="0" outline="0" showAll="0"/>
    <pivotField dataField="1" compact="0" outline="0" showAll="0">
      <items count="17">
        <item x="13"/>
        <item x="14"/>
        <item x="5"/>
        <item x="9"/>
        <item x="2"/>
        <item x="0"/>
        <item x="4"/>
        <item x="15"/>
        <item x="6"/>
        <item x="7"/>
        <item x="8"/>
        <item x="10"/>
        <item x="12"/>
        <item x="11"/>
        <item x="1"/>
        <item x="3"/>
        <item t="default"/>
      </items>
    </pivotField>
    <pivotField compact="0" outline="0" showAll="0"/>
    <pivotField compact="0" outline="0" showAll="0"/>
    <pivotField compact="0" outline="0" showAll="0">
      <items count="174">
        <item x="70"/>
        <item x="138"/>
        <item x="166"/>
        <item x="149"/>
        <item x="58"/>
        <item x="136"/>
        <item x="40"/>
        <item x="94"/>
        <item x="110"/>
        <item x="168"/>
        <item x="142"/>
        <item x="169"/>
        <item x="102"/>
        <item x="64"/>
        <item x="134"/>
        <item x="2"/>
        <item x="49"/>
        <item x="25"/>
        <item x="83"/>
        <item x="172"/>
        <item x="123"/>
        <item x="154"/>
        <item x="47"/>
        <item x="155"/>
        <item x="100"/>
        <item x="140"/>
        <item x="79"/>
        <item x="37"/>
        <item x="153"/>
        <item x="119"/>
        <item x="53"/>
        <item x="63"/>
        <item x="60"/>
        <item x="167"/>
        <item x="156"/>
        <item x="157"/>
        <item x="139"/>
        <item x="96"/>
        <item x="141"/>
        <item x="120"/>
        <item x="28"/>
        <item x="74"/>
        <item x="145"/>
        <item x="131"/>
        <item x="114"/>
        <item x="91"/>
        <item x="62"/>
        <item x="80"/>
        <item x="101"/>
        <item x="16"/>
        <item x="171"/>
        <item x="67"/>
        <item x="121"/>
        <item x="87"/>
        <item x="92"/>
        <item x="132"/>
        <item x="56"/>
        <item x="55"/>
        <item x="4"/>
        <item x="29"/>
        <item x="161"/>
        <item x="98"/>
        <item x="14"/>
        <item x="72"/>
        <item x="81"/>
        <item x="150"/>
        <item x="163"/>
        <item x="12"/>
        <item x="31"/>
        <item x="42"/>
        <item x="24"/>
        <item x="111"/>
        <item x="71"/>
        <item x="147"/>
        <item x="106"/>
        <item x="59"/>
        <item x="99"/>
        <item x="76"/>
        <item x="116"/>
        <item x="108"/>
        <item x="41"/>
        <item x="45"/>
        <item x="11"/>
        <item x="107"/>
        <item x="20"/>
        <item x="32"/>
        <item x="105"/>
        <item x="151"/>
        <item x="89"/>
        <item x="57"/>
        <item x="160"/>
        <item x="3"/>
        <item x="18"/>
        <item x="38"/>
        <item x="127"/>
        <item x="26"/>
        <item x="95"/>
        <item x="39"/>
        <item x="68"/>
        <item x="27"/>
        <item x="144"/>
        <item x="165"/>
        <item x="69"/>
        <item x="33"/>
        <item x="146"/>
        <item x="135"/>
        <item x="122"/>
        <item x="129"/>
        <item x="117"/>
        <item x="1"/>
        <item x="109"/>
        <item x="66"/>
        <item x="48"/>
        <item x="133"/>
        <item x="112"/>
        <item x="51"/>
        <item x="143"/>
        <item x="137"/>
        <item x="34"/>
        <item x="103"/>
        <item x="0"/>
        <item x="82"/>
        <item x="164"/>
        <item x="93"/>
        <item x="46"/>
        <item x="128"/>
        <item x="78"/>
        <item x="61"/>
        <item x="97"/>
        <item x="125"/>
        <item x="148"/>
        <item x="159"/>
        <item x="6"/>
        <item x="162"/>
        <item x="88"/>
        <item x="85"/>
        <item x="30"/>
        <item x="52"/>
        <item x="170"/>
        <item x="22"/>
        <item x="126"/>
        <item x="8"/>
        <item x="10"/>
        <item x="19"/>
        <item x="36"/>
        <item x="44"/>
        <item x="118"/>
        <item x="152"/>
        <item x="75"/>
        <item x="77"/>
        <item x="13"/>
        <item x="86"/>
        <item x="50"/>
        <item x="84"/>
        <item x="7"/>
        <item x="113"/>
        <item x="124"/>
        <item x="130"/>
        <item x="104"/>
        <item x="90"/>
        <item x="54"/>
        <item x="17"/>
        <item x="15"/>
        <item x="9"/>
        <item x="35"/>
        <item x="65"/>
        <item x="158"/>
        <item x="43"/>
        <item x="21"/>
        <item x="73"/>
        <item x="5"/>
        <item x="115"/>
        <item x="23"/>
        <item t="default"/>
      </items>
    </pivotField>
    <pivotField compact="0" outline="0" showAll="0">
      <items count="155">
        <item x="119"/>
        <item x="89"/>
        <item x="20"/>
        <item x="140"/>
        <item x="86"/>
        <item x="58"/>
        <item x="29"/>
        <item x="67"/>
        <item x="132"/>
        <item x="92"/>
        <item x="112"/>
        <item x="18"/>
        <item x="14"/>
        <item x="111"/>
        <item x="13"/>
        <item x="124"/>
        <item x="73"/>
        <item x="55"/>
        <item x="126"/>
        <item x="35"/>
        <item x="8"/>
        <item x="131"/>
        <item x="31"/>
        <item x="145"/>
        <item x="150"/>
        <item x="81"/>
        <item x="51"/>
        <item x="109"/>
        <item x="116"/>
        <item x="74"/>
        <item x="32"/>
        <item x="100"/>
        <item x="153"/>
        <item x="19"/>
        <item x="149"/>
        <item x="110"/>
        <item x="21"/>
        <item x="105"/>
        <item x="84"/>
        <item x="59"/>
        <item x="60"/>
        <item x="108"/>
        <item x="102"/>
        <item x="45"/>
        <item x="97"/>
        <item x="34"/>
        <item x="42"/>
        <item x="151"/>
        <item x="141"/>
        <item x="72"/>
        <item x="69"/>
        <item x="50"/>
        <item x="87"/>
        <item x="56"/>
        <item x="22"/>
        <item x="25"/>
        <item x="113"/>
        <item x="5"/>
        <item x="143"/>
        <item x="88"/>
        <item x="63"/>
        <item x="30"/>
        <item x="3"/>
        <item x="93"/>
        <item x="137"/>
        <item x="17"/>
        <item x="40"/>
        <item x="95"/>
        <item x="123"/>
        <item x="125"/>
        <item x="96"/>
        <item x="85"/>
        <item x="78"/>
        <item x="43"/>
        <item x="94"/>
        <item x="6"/>
        <item x="38"/>
        <item x="68"/>
        <item x="80"/>
        <item x="2"/>
        <item x="77"/>
        <item x="133"/>
        <item x="26"/>
        <item x="70"/>
        <item x="4"/>
        <item x="129"/>
        <item x="104"/>
        <item x="54"/>
        <item x="142"/>
        <item x="120"/>
        <item x="48"/>
        <item x="79"/>
        <item x="28"/>
        <item x="39"/>
        <item x="130"/>
        <item x="103"/>
        <item x="128"/>
        <item x="11"/>
        <item x="33"/>
        <item x="138"/>
        <item x="118"/>
        <item x="98"/>
        <item x="57"/>
        <item x="15"/>
        <item x="117"/>
        <item x="66"/>
        <item x="122"/>
        <item x="136"/>
        <item x="64"/>
        <item x="115"/>
        <item x="147"/>
        <item x="16"/>
        <item x="71"/>
        <item x="52"/>
        <item x="82"/>
        <item x="12"/>
        <item x="107"/>
        <item x="148"/>
        <item x="121"/>
        <item x="83"/>
        <item x="49"/>
        <item x="75"/>
        <item x="36"/>
        <item x="127"/>
        <item x="106"/>
        <item x="53"/>
        <item x="135"/>
        <item x="99"/>
        <item x="144"/>
        <item x="7"/>
        <item x="76"/>
        <item x="65"/>
        <item x="27"/>
        <item x="10"/>
        <item x="101"/>
        <item x="134"/>
        <item x="47"/>
        <item x="37"/>
        <item x="46"/>
        <item x="44"/>
        <item x="9"/>
        <item x="152"/>
        <item x="90"/>
        <item x="62"/>
        <item x="41"/>
        <item x="24"/>
        <item x="23"/>
        <item x="146"/>
        <item x="61"/>
        <item x="114"/>
        <item x="139"/>
        <item x="91"/>
        <item x="0"/>
        <item x="1"/>
        <item t="default"/>
      </items>
    </pivotField>
    <pivotField compact="0" outline="0" showAll="0">
      <items count="158">
        <item x="121"/>
        <item x="95"/>
        <item x="41"/>
        <item x="132"/>
        <item x="79"/>
        <item x="92"/>
        <item x="125"/>
        <item x="153"/>
        <item x="35"/>
        <item x="138"/>
        <item x="13"/>
        <item x="4"/>
        <item x="50"/>
        <item x="73"/>
        <item x="85"/>
        <item x="103"/>
        <item x="118"/>
        <item x="147"/>
        <item x="27"/>
        <item x="152"/>
        <item x="156"/>
        <item x="65"/>
        <item x="151"/>
        <item x="8"/>
        <item x="45"/>
        <item x="31"/>
        <item x="136"/>
        <item x="86"/>
        <item x="53"/>
        <item x="99"/>
        <item x="54"/>
        <item x="16"/>
        <item x="15"/>
        <item x="140"/>
        <item x="124"/>
        <item x="88"/>
        <item x="72"/>
        <item x="69"/>
        <item x="22"/>
        <item x="150"/>
        <item x="107"/>
        <item x="34"/>
        <item x="116"/>
        <item x="63"/>
        <item x="145"/>
        <item x="61"/>
        <item x="71"/>
        <item x="25"/>
        <item x="33"/>
        <item x="105"/>
        <item x="87"/>
        <item x="123"/>
        <item x="141"/>
        <item x="122"/>
        <item x="23"/>
        <item x="128"/>
        <item x="14"/>
        <item x="139"/>
        <item x="100"/>
        <item x="60"/>
        <item x="12"/>
        <item x="51"/>
        <item x="10"/>
        <item x="114"/>
        <item x="26"/>
        <item x="47"/>
        <item x="38"/>
        <item x="80"/>
        <item x="133"/>
        <item x="78"/>
        <item x="42"/>
        <item x="104"/>
        <item x="57"/>
        <item x="52"/>
        <item x="155"/>
        <item x="28"/>
        <item x="148"/>
        <item x="110"/>
        <item x="49"/>
        <item x="19"/>
        <item x="93"/>
        <item x="2"/>
        <item x="112"/>
        <item x="6"/>
        <item x="43"/>
        <item x="96"/>
        <item x="117"/>
        <item x="3"/>
        <item x="75"/>
        <item x="39"/>
        <item x="70"/>
        <item x="146"/>
        <item x="21"/>
        <item x="113"/>
        <item x="29"/>
        <item x="130"/>
        <item x="5"/>
        <item x="40"/>
        <item x="67"/>
        <item x="18"/>
        <item x="32"/>
        <item x="66"/>
        <item x="149"/>
        <item x="106"/>
        <item x="59"/>
        <item x="134"/>
        <item x="77"/>
        <item x="129"/>
        <item x="76"/>
        <item x="119"/>
        <item x="84"/>
        <item x="126"/>
        <item x="94"/>
        <item x="74"/>
        <item x="115"/>
        <item x="102"/>
        <item x="64"/>
        <item x="91"/>
        <item x="62"/>
        <item x="97"/>
        <item x="109"/>
        <item x="56"/>
        <item x="37"/>
        <item x="143"/>
        <item x="90"/>
        <item x="154"/>
        <item x="131"/>
        <item x="24"/>
        <item x="46"/>
        <item x="82"/>
        <item x="9"/>
        <item x="58"/>
        <item x="20"/>
        <item x="135"/>
        <item x="30"/>
        <item x="36"/>
        <item x="68"/>
        <item x="120"/>
        <item x="17"/>
        <item x="55"/>
        <item x="98"/>
        <item x="111"/>
        <item x="108"/>
        <item x="89"/>
        <item x="127"/>
        <item x="142"/>
        <item x="81"/>
        <item x="144"/>
        <item x="7"/>
        <item x="83"/>
        <item x="101"/>
        <item x="44"/>
        <item x="11"/>
        <item x="48"/>
        <item x="137"/>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9">
    <i>
      <x/>
    </i>
    <i>
      <x v="1"/>
    </i>
    <i>
      <x v="2"/>
    </i>
    <i>
      <x v="3"/>
    </i>
    <i>
      <x v="4"/>
    </i>
    <i>
      <x v="5"/>
    </i>
    <i>
      <x v="6"/>
    </i>
    <i>
      <x v="7"/>
    </i>
    <i t="grand">
      <x/>
    </i>
  </rowItems>
  <colFields count="1">
    <field x="-2"/>
  </colFields>
  <colItems count="2">
    <i>
      <x/>
    </i>
    <i i="1">
      <x v="1"/>
    </i>
  </colItems>
  <pageFields count="1">
    <pageField fld="1" hier="-1"/>
  </pageFields>
  <dataFields count="2">
    <dataField name="Somme de access to money Average" fld="7" baseField="0" baseItem="0"/>
    <dataField name="Somme de status of parents (hisei) Average" fld="5" baseField="0" baseItem="0"/>
  </dataField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231ED2-53A9-F94A-AE9F-5EBCC41B5106}" name="Tableau croisé dynamique9"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A3:E10" firstHeaderRow="0" firstDataRow="1" firstDataCol="1" rowPageCount="1" colPageCount="1"/>
  <pivotFields count="20">
    <pivotField axis="axisRow" showAll="0">
      <items count="9">
        <item h="1" x="7"/>
        <item h="1" x="6"/>
        <item x="5"/>
        <item x="4"/>
        <item x="3"/>
        <item x="2"/>
        <item x="1"/>
        <item x="0"/>
        <item t="default"/>
      </items>
    </pivotField>
    <pivotField axis="axisPage" multipleItemSelectionAllowed="1" showAll="0">
      <items count="40">
        <item h="1" x="1"/>
        <item h="1" x="2"/>
        <item h="1" x="3"/>
        <item h="1" x="4"/>
        <item h="1" x="5"/>
        <item h="1" x="6"/>
        <item h="1" x="7"/>
        <item h="1" x="8"/>
        <item h="1" x="9"/>
        <item h="1" x="10"/>
        <item h="1" x="11"/>
        <item x="12"/>
        <item h="1" x="13"/>
        <item h="1" x="14"/>
        <item h="1" x="15"/>
        <item h="1" x="16"/>
        <item h="1" x="0"/>
        <item h="1" x="17"/>
        <item h="1" x="18"/>
        <item h="1" x="19"/>
        <item h="1" x="20"/>
        <item h="1" x="21"/>
        <item h="1" x="22"/>
        <item h="1" x="23"/>
        <item h="1" x="24"/>
        <item h="1" x="25"/>
        <item h="1" x="26"/>
        <item h="1" x="27"/>
        <item h="1" x="28"/>
        <item h="1" x="29"/>
        <item h="1" x="30"/>
        <item h="1" x="31"/>
        <item h="1" x="32"/>
        <item h="1" x="33"/>
        <item h="1" x="34"/>
        <item h="1" x="35"/>
        <item h="1" x="36"/>
        <item h="1" x="37"/>
        <item h="1" x="38"/>
        <item t="default"/>
      </items>
    </pivotField>
    <pivotField dataField="1" showAll="0"/>
    <pivotField dataField="1" showAll="0">
      <items count="233">
        <item x="200"/>
        <item x="123"/>
        <item x="162"/>
        <item x="218"/>
        <item x="25"/>
        <item x="7"/>
        <item x="6"/>
        <item x="45"/>
        <item x="142"/>
        <item x="46"/>
        <item x="103"/>
        <item x="84"/>
        <item x="180"/>
        <item x="64"/>
        <item x="85"/>
        <item x="229"/>
        <item x="114"/>
        <item x="124"/>
        <item x="199"/>
        <item x="14"/>
        <item x="5"/>
        <item x="44"/>
        <item x="122"/>
        <item x="83"/>
        <item x="16"/>
        <item x="161"/>
        <item x="53"/>
        <item x="211"/>
        <item x="191"/>
        <item x="92"/>
        <item x="173"/>
        <item x="109"/>
        <item x="57"/>
        <item x="31"/>
        <item x="153"/>
        <item x="70"/>
        <item x="18"/>
        <item x="96"/>
        <item x="131"/>
        <item x="58"/>
        <item x="75"/>
        <item x="135"/>
        <item x="169"/>
        <item x="148"/>
        <item x="94"/>
        <item x="207"/>
        <item x="223"/>
        <item x="55"/>
        <item x="212"/>
        <item x="101"/>
        <item x="36"/>
        <item x="93"/>
        <item x="63"/>
        <item x="19"/>
        <item x="133"/>
        <item x="28"/>
        <item x="97"/>
        <item x="54"/>
        <item x="62"/>
        <item x="102"/>
        <item x="72"/>
        <item x="179"/>
        <item x="30"/>
        <item x="23"/>
        <item x="33"/>
        <item x="0"/>
        <item x="151"/>
        <item x="15"/>
        <item x="217"/>
        <item x="221"/>
        <item x="39"/>
        <item x="12"/>
        <item x="61"/>
        <item x="216"/>
        <item x="188"/>
        <item x="26"/>
        <item x="226"/>
        <item x="224"/>
        <item x="78"/>
        <item x="174"/>
        <item x="231"/>
        <item x="147"/>
        <item x="215"/>
        <item x="41"/>
        <item x="100"/>
        <item x="186"/>
        <item x="67"/>
        <item x="3"/>
        <item x="209"/>
        <item x="141"/>
        <item x="2"/>
        <item x="178"/>
        <item x="69"/>
        <item x="13"/>
        <item x="48"/>
        <item x="111"/>
        <item x="86"/>
        <item x="185"/>
        <item x="51"/>
        <item x="112"/>
        <item x="136"/>
        <item x="34"/>
        <item x="9"/>
        <item x="22"/>
        <item x="177"/>
        <item x="132"/>
        <item x="158"/>
        <item x="145"/>
        <item x="194"/>
        <item x="90"/>
        <item x="80"/>
        <item x="189"/>
        <item x="205"/>
        <item x="74"/>
        <item x="171"/>
        <item x="140"/>
        <item x="202"/>
        <item x="56"/>
        <item x="116"/>
        <item x="117"/>
        <item x="150"/>
        <item x="47"/>
        <item x="155"/>
        <item x="156"/>
        <item x="8"/>
        <item x="222"/>
        <item x="167"/>
        <item x="126"/>
        <item x="106"/>
        <item x="42"/>
        <item x="129"/>
        <item x="29"/>
        <item x="164"/>
        <item x="38"/>
        <item x="73"/>
        <item x="37"/>
        <item x="183"/>
        <item x="32"/>
        <item x="163"/>
        <item x="108"/>
        <item x="107"/>
        <item x="87"/>
        <item x="81"/>
        <item x="193"/>
        <item x="139"/>
        <item x="77"/>
        <item x="35"/>
        <item x="95"/>
        <item x="170"/>
        <item x="40"/>
        <item x="52"/>
        <item x="227"/>
        <item x="65"/>
        <item x="17"/>
        <item x="208"/>
        <item x="27"/>
        <item x="76"/>
        <item x="120"/>
        <item x="113"/>
        <item x="119"/>
        <item x="159"/>
        <item x="1"/>
        <item x="71"/>
        <item x="172"/>
        <item x="184"/>
        <item x="125"/>
        <item x="210"/>
        <item x="66"/>
        <item x="104"/>
        <item x="91"/>
        <item x="115"/>
        <item x="79"/>
        <item x="197"/>
        <item x="196"/>
        <item x="11"/>
        <item x="68"/>
        <item x="228"/>
        <item x="187"/>
        <item x="201"/>
        <item x="110"/>
        <item x="105"/>
        <item x="192"/>
        <item x="154"/>
        <item x="149"/>
        <item x="230"/>
        <item x="4"/>
        <item x="152"/>
        <item x="144"/>
        <item x="206"/>
        <item x="99"/>
        <item x="190"/>
        <item x="43"/>
        <item x="225"/>
        <item x="60"/>
        <item x="168"/>
        <item x="118"/>
        <item x="50"/>
        <item x="134"/>
        <item x="143"/>
        <item x="214"/>
        <item x="181"/>
        <item x="130"/>
        <item x="219"/>
        <item x="121"/>
        <item x="10"/>
        <item x="146"/>
        <item x="195"/>
        <item x="157"/>
        <item x="82"/>
        <item x="21"/>
        <item x="165"/>
        <item x="160"/>
        <item x="59"/>
        <item x="49"/>
        <item x="220"/>
        <item x="89"/>
        <item x="213"/>
        <item x="203"/>
        <item x="182"/>
        <item x="88"/>
        <item x="198"/>
        <item x="138"/>
        <item x="176"/>
        <item x="98"/>
        <item x="175"/>
        <item x="127"/>
        <item x="128"/>
        <item x="20"/>
        <item x="137"/>
        <item x="166"/>
        <item x="204"/>
        <item x="24"/>
        <item t="default"/>
      </items>
    </pivotField>
    <pivotField dataField="1" showAll="0">
      <items count="295">
        <item x="199"/>
        <item x="249"/>
        <item x="122"/>
        <item x="6"/>
        <item x="267"/>
        <item x="217"/>
        <item x="45"/>
        <item x="161"/>
        <item x="7"/>
        <item x="25"/>
        <item x="64"/>
        <item x="283"/>
        <item x="102"/>
        <item x="141"/>
        <item x="83"/>
        <item x="179"/>
        <item x="46"/>
        <item x="84"/>
        <item x="113"/>
        <item x="16"/>
        <item x="14"/>
        <item x="210"/>
        <item x="123"/>
        <item x="259"/>
        <item x="282"/>
        <item x="121"/>
        <item x="198"/>
        <item x="31"/>
        <item x="228"/>
        <item x="5"/>
        <item x="160"/>
        <item x="277"/>
        <item x="44"/>
        <item x="108"/>
        <item x="36"/>
        <item x="53"/>
        <item x="70"/>
        <item x="281"/>
        <item x="82"/>
        <item x="26"/>
        <item x="206"/>
        <item x="225"/>
        <item x="147"/>
        <item x="190"/>
        <item x="74"/>
        <item x="223"/>
        <item x="91"/>
        <item x="177"/>
        <item x="211"/>
        <item x="32"/>
        <item x="255"/>
        <item x="92"/>
        <item x="63"/>
        <item x="215"/>
        <item x="288"/>
        <item x="157"/>
        <item x="57"/>
        <item x="23"/>
        <item x="178"/>
        <item x="240"/>
        <item x="222"/>
        <item x="100"/>
        <item x="15"/>
        <item x="273"/>
        <item x="18"/>
        <item x="12"/>
        <item x="55"/>
        <item x="172"/>
        <item x="33"/>
        <item x="22"/>
        <item x="152"/>
        <item x="0"/>
        <item x="244"/>
        <item x="62"/>
        <item x="54"/>
        <item x="58"/>
        <item x="28"/>
        <item x="30"/>
        <item x="130"/>
        <item x="139"/>
        <item x="185"/>
        <item x="254"/>
        <item x="162"/>
        <item x="61"/>
        <item x="3"/>
        <item x="95"/>
        <item x="287"/>
        <item x="216"/>
        <item x="248"/>
        <item x="214"/>
        <item x="13"/>
        <item x="274"/>
        <item x="2"/>
        <item x="256"/>
        <item x="187"/>
        <item x="148"/>
        <item x="101"/>
        <item x="93"/>
        <item x="19"/>
        <item x="241"/>
        <item x="207"/>
        <item x="132"/>
        <item x="200"/>
        <item x="168"/>
        <item x="186"/>
        <item x="35"/>
        <item x="150"/>
        <item x="73"/>
        <item x="176"/>
        <item x="272"/>
        <item x="220"/>
        <item x="41"/>
        <item x="208"/>
        <item x="96"/>
        <item x="65"/>
        <item x="79"/>
        <item x="193"/>
        <item x="39"/>
        <item x="134"/>
        <item x="173"/>
        <item x="34"/>
        <item x="85"/>
        <item x="278"/>
        <item x="204"/>
        <item x="146"/>
        <item x="99"/>
        <item x="140"/>
        <item x="149"/>
        <item x="131"/>
        <item x="77"/>
        <item x="235"/>
        <item x="8"/>
        <item x="138"/>
        <item x="29"/>
        <item x="9"/>
        <item x="184"/>
        <item x="118"/>
        <item x="135"/>
        <item x="195"/>
        <item x="11"/>
        <item x="47"/>
        <item x="155"/>
        <item x="247"/>
        <item x="232"/>
        <item x="239"/>
        <item x="268"/>
        <item x="242"/>
        <item x="69"/>
        <item x="116"/>
        <item x="264"/>
        <item x="112"/>
        <item x="236"/>
        <item x="289"/>
        <item x="51"/>
        <item x="42"/>
        <item x="124"/>
        <item x="262"/>
        <item x="230"/>
        <item x="169"/>
        <item x="191"/>
        <item x="291"/>
        <item x="37"/>
        <item x="224"/>
        <item x="201"/>
        <item x="163"/>
        <item x="205"/>
        <item x="229"/>
        <item x="261"/>
        <item x="71"/>
        <item x="110"/>
        <item x="166"/>
        <item x="171"/>
        <item x="125"/>
        <item x="238"/>
        <item x="253"/>
        <item x="269"/>
        <item x="115"/>
        <item x="167"/>
        <item x="188"/>
        <item x="154"/>
        <item x="212"/>
        <item x="114"/>
        <item x="1"/>
        <item x="245"/>
        <item x="107"/>
        <item x="52"/>
        <item x="80"/>
        <item x="258"/>
        <item x="227"/>
        <item x="89"/>
        <item x="153"/>
        <item x="67"/>
        <item x="252"/>
        <item x="86"/>
        <item x="192"/>
        <item x="111"/>
        <item x="170"/>
        <item x="183"/>
        <item x="189"/>
        <item x="202"/>
        <item x="27"/>
        <item x="196"/>
        <item x="164"/>
        <item x="48"/>
        <item x="40"/>
        <item x="78"/>
        <item x="103"/>
        <item x="182"/>
        <item x="59"/>
        <item x="75"/>
        <item x="144"/>
        <item x="38"/>
        <item x="293"/>
        <item x="271"/>
        <item x="109"/>
        <item x="286"/>
        <item x="76"/>
        <item x="128"/>
        <item x="106"/>
        <item x="66"/>
        <item x="72"/>
        <item x="158"/>
        <item x="218"/>
        <item x="275"/>
        <item x="233"/>
        <item x="260"/>
        <item x="265"/>
        <item x="4"/>
        <item x="226"/>
        <item x="221"/>
        <item x="129"/>
        <item x="180"/>
        <item x="119"/>
        <item x="151"/>
        <item x="90"/>
        <item x="104"/>
        <item x="10"/>
        <item x="142"/>
        <item x="117"/>
        <item x="68"/>
        <item x="143"/>
        <item x="194"/>
        <item x="250"/>
        <item x="105"/>
        <item x="60"/>
        <item x="257"/>
        <item x="156"/>
        <item x="21"/>
        <item x="243"/>
        <item x="20"/>
        <item x="97"/>
        <item x="17"/>
        <item x="126"/>
        <item x="290"/>
        <item x="209"/>
        <item x="98"/>
        <item x="56"/>
        <item x="145"/>
        <item x="87"/>
        <item x="174"/>
        <item x="50"/>
        <item x="43"/>
        <item x="94"/>
        <item x="181"/>
        <item x="219"/>
        <item x="251"/>
        <item x="279"/>
        <item x="49"/>
        <item x="120"/>
        <item x="133"/>
        <item x="292"/>
        <item x="127"/>
        <item x="159"/>
        <item x="280"/>
        <item x="231"/>
        <item x="88"/>
        <item x="81"/>
        <item x="276"/>
        <item x="197"/>
        <item x="234"/>
        <item x="263"/>
        <item x="285"/>
        <item x="246"/>
        <item x="266"/>
        <item x="137"/>
        <item x="165"/>
        <item x="136"/>
        <item x="175"/>
        <item x="237"/>
        <item x="270"/>
        <item x="203"/>
        <item x="213"/>
        <item x="24"/>
        <item x="2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6">
        <item x="1"/>
        <item x="128"/>
        <item x="19"/>
        <item x="114"/>
        <item x="48"/>
        <item x="100"/>
        <item x="29"/>
        <item x="124"/>
        <item x="70"/>
        <item x="84"/>
        <item x="82"/>
        <item x="5"/>
        <item x="76"/>
        <item x="91"/>
        <item x="3"/>
        <item x="36"/>
        <item x="92"/>
        <item x="62"/>
        <item x="16"/>
        <item x="94"/>
        <item x="58"/>
        <item x="27"/>
        <item x="32"/>
        <item x="133"/>
        <item x="68"/>
        <item x="45"/>
        <item x="55"/>
        <item x="77"/>
        <item x="8"/>
        <item x="105"/>
        <item x="44"/>
        <item x="30"/>
        <item x="108"/>
        <item x="88"/>
        <item x="95"/>
        <item x="17"/>
        <item x="126"/>
        <item x="72"/>
        <item x="6"/>
        <item x="117"/>
        <item x="103"/>
        <item x="106"/>
        <item x="119"/>
        <item x="11"/>
        <item x="50"/>
        <item x="131"/>
        <item x="46"/>
        <item x="31"/>
        <item x="61"/>
        <item x="54"/>
        <item x="37"/>
        <item x="65"/>
        <item x="26"/>
        <item x="2"/>
        <item x="107"/>
        <item x="78"/>
        <item x="9"/>
        <item x="93"/>
        <item x="87"/>
        <item x="21"/>
        <item x="59"/>
        <item x="63"/>
        <item x="34"/>
        <item x="7"/>
        <item x="33"/>
        <item x="28"/>
        <item x="130"/>
        <item x="57"/>
        <item x="120"/>
        <item x="35"/>
        <item x="83"/>
        <item x="51"/>
        <item x="79"/>
        <item x="74"/>
        <item x="10"/>
        <item x="47"/>
        <item x="20"/>
        <item x="12"/>
        <item x="22"/>
        <item x="115"/>
        <item x="89"/>
        <item x="14"/>
        <item x="66"/>
        <item x="25"/>
        <item x="111"/>
        <item x="49"/>
        <item x="99"/>
        <item x="40"/>
        <item x="39"/>
        <item x="42"/>
        <item x="69"/>
        <item x="110"/>
        <item x="41"/>
        <item x="129"/>
        <item x="97"/>
        <item x="60"/>
        <item x="71"/>
        <item x="18"/>
        <item x="122"/>
        <item x="13"/>
        <item x="98"/>
        <item x="67"/>
        <item x="113"/>
        <item x="38"/>
        <item x="123"/>
        <item x="101"/>
        <item x="116"/>
        <item x="64"/>
        <item x="134"/>
        <item x="85"/>
        <item x="121"/>
        <item x="102"/>
        <item x="86"/>
        <item x="80"/>
        <item x="75"/>
        <item x="109"/>
        <item x="24"/>
        <item x="53"/>
        <item x="125"/>
        <item x="52"/>
        <item x="96"/>
        <item x="73"/>
        <item x="4"/>
        <item x="15"/>
        <item x="23"/>
        <item x="56"/>
        <item x="43"/>
        <item x="90"/>
        <item x="104"/>
        <item x="81"/>
        <item x="112"/>
        <item x="118"/>
        <item x="127"/>
        <item x="132"/>
        <item x="0"/>
        <item t="default"/>
      </items>
    </pivotField>
  </pivotFields>
  <rowFields count="1">
    <field x="0"/>
  </rowFields>
  <rowItems count="7">
    <i>
      <x v="2"/>
    </i>
    <i>
      <x v="3"/>
    </i>
    <i>
      <x v="4"/>
    </i>
    <i>
      <x v="5"/>
    </i>
    <i>
      <x v="6"/>
    </i>
    <i>
      <x v="7"/>
    </i>
    <i t="grand">
      <x/>
    </i>
  </rowItems>
  <colFields count="1">
    <field x="-2"/>
  </colFields>
  <colItems count="4">
    <i>
      <x/>
    </i>
    <i i="1">
      <x v="1"/>
    </i>
    <i i="2">
      <x v="2"/>
    </i>
    <i i="3">
      <x v="3"/>
    </i>
  </colItems>
  <pageFields count="1">
    <pageField fld="1" hier="-1"/>
  </pageFields>
  <dataFields count="4">
    <dataField name="Somme de Mathematics scale Average" fld="2" baseField="0" baseItem="0"/>
    <dataField name="Somme de reading scale Average" fld="4" baseField="0" baseItem="0"/>
    <dataField name="Somme de science scale Average" fld="3" baseField="0" baseItem="0"/>
    <dataField name="Somme de GINI INDICATOR" fld="1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3"/>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B9B54-4F56-9449-92AF-B958B3E884DD}" name="Tableau croisé dynamique10"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A43:E50" firstHeaderRow="0" firstDataRow="1" firstDataCol="1" rowPageCount="1" colPageCount="1"/>
  <pivotFields count="20">
    <pivotField axis="axisRow" showAll="0">
      <items count="9">
        <item h="1" x="7"/>
        <item h="1" x="6"/>
        <item x="5"/>
        <item x="4"/>
        <item x="3"/>
        <item x="2"/>
        <item x="1"/>
        <item x="0"/>
        <item t="default"/>
      </items>
    </pivotField>
    <pivotField axis="axisPage" multipleItemSelectionAllowed="1" showAll="0">
      <items count="40">
        <item h="1" x="1"/>
        <item h="1" x="2"/>
        <item h="1" x="3"/>
        <item h="1" x="4"/>
        <item h="1" x="5"/>
        <item h="1" x="6"/>
        <item h="1" x="7"/>
        <item h="1" x="8"/>
        <item h="1" x="9"/>
        <item h="1" x="10"/>
        <item h="1" x="11"/>
        <item x="12"/>
        <item h="1" x="13"/>
        <item h="1" x="14"/>
        <item h="1" x="15"/>
        <item h="1" x="16"/>
        <item h="1" x="0"/>
        <item h="1" x="17"/>
        <item h="1" x="18"/>
        <item h="1" x="19"/>
        <item h="1" x="20"/>
        <item h="1" x="21"/>
        <item h="1" x="22"/>
        <item h="1" x="23"/>
        <item h="1" x="24"/>
        <item h="1" x="25"/>
        <item h="1" x="26"/>
        <item h="1" x="27"/>
        <item h="1" x="28"/>
        <item h="1" x="29"/>
        <item h="1" x="30"/>
        <item h="1" x="31"/>
        <item h="1" x="32"/>
        <item h="1" x="33"/>
        <item h="1" x="34"/>
        <item h="1" x="35"/>
        <item h="1" x="36"/>
        <item h="1" x="37"/>
        <item h="1" x="38"/>
        <item t="default"/>
      </items>
    </pivotField>
    <pivotField dataField="1" showAll="0"/>
    <pivotField dataField="1" showAll="0">
      <items count="233">
        <item x="200"/>
        <item x="123"/>
        <item x="162"/>
        <item x="218"/>
        <item x="25"/>
        <item x="7"/>
        <item x="6"/>
        <item x="45"/>
        <item x="142"/>
        <item x="46"/>
        <item x="103"/>
        <item x="84"/>
        <item x="180"/>
        <item x="64"/>
        <item x="85"/>
        <item x="229"/>
        <item x="114"/>
        <item x="124"/>
        <item x="199"/>
        <item x="14"/>
        <item x="5"/>
        <item x="44"/>
        <item x="122"/>
        <item x="83"/>
        <item x="16"/>
        <item x="161"/>
        <item x="53"/>
        <item x="211"/>
        <item x="191"/>
        <item x="92"/>
        <item x="173"/>
        <item x="109"/>
        <item x="57"/>
        <item x="31"/>
        <item x="153"/>
        <item x="70"/>
        <item x="18"/>
        <item x="96"/>
        <item x="131"/>
        <item x="58"/>
        <item x="75"/>
        <item x="135"/>
        <item x="169"/>
        <item x="148"/>
        <item x="94"/>
        <item x="207"/>
        <item x="223"/>
        <item x="55"/>
        <item x="212"/>
        <item x="101"/>
        <item x="36"/>
        <item x="93"/>
        <item x="63"/>
        <item x="19"/>
        <item x="133"/>
        <item x="28"/>
        <item x="97"/>
        <item x="54"/>
        <item x="62"/>
        <item x="102"/>
        <item x="72"/>
        <item x="179"/>
        <item x="30"/>
        <item x="23"/>
        <item x="33"/>
        <item x="0"/>
        <item x="151"/>
        <item x="15"/>
        <item x="217"/>
        <item x="221"/>
        <item x="39"/>
        <item x="12"/>
        <item x="61"/>
        <item x="216"/>
        <item x="188"/>
        <item x="26"/>
        <item x="226"/>
        <item x="224"/>
        <item x="78"/>
        <item x="174"/>
        <item x="231"/>
        <item x="147"/>
        <item x="215"/>
        <item x="41"/>
        <item x="100"/>
        <item x="186"/>
        <item x="67"/>
        <item x="3"/>
        <item x="209"/>
        <item x="141"/>
        <item x="2"/>
        <item x="178"/>
        <item x="69"/>
        <item x="13"/>
        <item x="48"/>
        <item x="111"/>
        <item x="86"/>
        <item x="185"/>
        <item x="51"/>
        <item x="112"/>
        <item x="136"/>
        <item x="34"/>
        <item x="9"/>
        <item x="22"/>
        <item x="177"/>
        <item x="132"/>
        <item x="158"/>
        <item x="145"/>
        <item x="194"/>
        <item x="90"/>
        <item x="80"/>
        <item x="189"/>
        <item x="205"/>
        <item x="74"/>
        <item x="171"/>
        <item x="140"/>
        <item x="202"/>
        <item x="56"/>
        <item x="116"/>
        <item x="117"/>
        <item x="150"/>
        <item x="47"/>
        <item x="155"/>
        <item x="156"/>
        <item x="8"/>
        <item x="222"/>
        <item x="167"/>
        <item x="126"/>
        <item x="106"/>
        <item x="42"/>
        <item x="129"/>
        <item x="29"/>
        <item x="164"/>
        <item x="38"/>
        <item x="73"/>
        <item x="37"/>
        <item x="183"/>
        <item x="32"/>
        <item x="163"/>
        <item x="108"/>
        <item x="107"/>
        <item x="87"/>
        <item x="81"/>
        <item x="193"/>
        <item x="139"/>
        <item x="77"/>
        <item x="35"/>
        <item x="95"/>
        <item x="170"/>
        <item x="40"/>
        <item x="52"/>
        <item x="227"/>
        <item x="65"/>
        <item x="17"/>
        <item x="208"/>
        <item x="27"/>
        <item x="76"/>
        <item x="120"/>
        <item x="113"/>
        <item x="119"/>
        <item x="159"/>
        <item x="1"/>
        <item x="71"/>
        <item x="172"/>
        <item x="184"/>
        <item x="125"/>
        <item x="210"/>
        <item x="66"/>
        <item x="104"/>
        <item x="91"/>
        <item x="115"/>
        <item x="79"/>
        <item x="197"/>
        <item x="196"/>
        <item x="11"/>
        <item x="68"/>
        <item x="228"/>
        <item x="187"/>
        <item x="201"/>
        <item x="110"/>
        <item x="105"/>
        <item x="192"/>
        <item x="154"/>
        <item x="149"/>
        <item x="230"/>
        <item x="4"/>
        <item x="152"/>
        <item x="144"/>
        <item x="206"/>
        <item x="99"/>
        <item x="190"/>
        <item x="43"/>
        <item x="225"/>
        <item x="60"/>
        <item x="168"/>
        <item x="118"/>
        <item x="50"/>
        <item x="134"/>
        <item x="143"/>
        <item x="214"/>
        <item x="181"/>
        <item x="130"/>
        <item x="219"/>
        <item x="121"/>
        <item x="10"/>
        <item x="146"/>
        <item x="195"/>
        <item x="157"/>
        <item x="82"/>
        <item x="21"/>
        <item x="165"/>
        <item x="160"/>
        <item x="59"/>
        <item x="49"/>
        <item x="220"/>
        <item x="89"/>
        <item x="213"/>
        <item x="203"/>
        <item x="182"/>
        <item x="88"/>
        <item x="198"/>
        <item x="138"/>
        <item x="176"/>
        <item x="98"/>
        <item x="175"/>
        <item x="127"/>
        <item x="128"/>
        <item x="20"/>
        <item x="137"/>
        <item x="166"/>
        <item x="204"/>
        <item x="24"/>
        <item t="default"/>
      </items>
    </pivotField>
    <pivotField dataField="1" showAll="0">
      <items count="295">
        <item x="199"/>
        <item x="249"/>
        <item x="122"/>
        <item x="6"/>
        <item x="267"/>
        <item x="217"/>
        <item x="45"/>
        <item x="161"/>
        <item x="7"/>
        <item x="25"/>
        <item x="64"/>
        <item x="283"/>
        <item x="102"/>
        <item x="141"/>
        <item x="83"/>
        <item x="179"/>
        <item x="46"/>
        <item x="84"/>
        <item x="113"/>
        <item x="16"/>
        <item x="14"/>
        <item x="210"/>
        <item x="123"/>
        <item x="259"/>
        <item x="282"/>
        <item x="121"/>
        <item x="198"/>
        <item x="31"/>
        <item x="228"/>
        <item x="5"/>
        <item x="160"/>
        <item x="277"/>
        <item x="44"/>
        <item x="108"/>
        <item x="36"/>
        <item x="53"/>
        <item x="70"/>
        <item x="281"/>
        <item x="82"/>
        <item x="26"/>
        <item x="206"/>
        <item x="225"/>
        <item x="147"/>
        <item x="190"/>
        <item x="74"/>
        <item x="223"/>
        <item x="91"/>
        <item x="177"/>
        <item x="211"/>
        <item x="32"/>
        <item x="255"/>
        <item x="92"/>
        <item x="63"/>
        <item x="215"/>
        <item x="288"/>
        <item x="157"/>
        <item x="57"/>
        <item x="23"/>
        <item x="178"/>
        <item x="240"/>
        <item x="222"/>
        <item x="100"/>
        <item x="15"/>
        <item x="273"/>
        <item x="18"/>
        <item x="12"/>
        <item x="55"/>
        <item x="172"/>
        <item x="33"/>
        <item x="22"/>
        <item x="152"/>
        <item x="0"/>
        <item x="244"/>
        <item x="62"/>
        <item x="54"/>
        <item x="58"/>
        <item x="28"/>
        <item x="30"/>
        <item x="130"/>
        <item x="139"/>
        <item x="185"/>
        <item x="254"/>
        <item x="162"/>
        <item x="61"/>
        <item x="3"/>
        <item x="95"/>
        <item x="287"/>
        <item x="216"/>
        <item x="248"/>
        <item x="214"/>
        <item x="13"/>
        <item x="274"/>
        <item x="2"/>
        <item x="256"/>
        <item x="187"/>
        <item x="148"/>
        <item x="101"/>
        <item x="93"/>
        <item x="19"/>
        <item x="241"/>
        <item x="207"/>
        <item x="132"/>
        <item x="200"/>
        <item x="168"/>
        <item x="186"/>
        <item x="35"/>
        <item x="150"/>
        <item x="73"/>
        <item x="176"/>
        <item x="272"/>
        <item x="220"/>
        <item x="41"/>
        <item x="208"/>
        <item x="96"/>
        <item x="65"/>
        <item x="79"/>
        <item x="193"/>
        <item x="39"/>
        <item x="134"/>
        <item x="173"/>
        <item x="34"/>
        <item x="85"/>
        <item x="278"/>
        <item x="204"/>
        <item x="146"/>
        <item x="99"/>
        <item x="140"/>
        <item x="149"/>
        <item x="131"/>
        <item x="77"/>
        <item x="235"/>
        <item x="8"/>
        <item x="138"/>
        <item x="29"/>
        <item x="9"/>
        <item x="184"/>
        <item x="118"/>
        <item x="135"/>
        <item x="195"/>
        <item x="11"/>
        <item x="47"/>
        <item x="155"/>
        <item x="247"/>
        <item x="232"/>
        <item x="239"/>
        <item x="268"/>
        <item x="242"/>
        <item x="69"/>
        <item x="116"/>
        <item x="264"/>
        <item x="112"/>
        <item x="236"/>
        <item x="289"/>
        <item x="51"/>
        <item x="42"/>
        <item x="124"/>
        <item x="262"/>
        <item x="230"/>
        <item x="169"/>
        <item x="191"/>
        <item x="291"/>
        <item x="37"/>
        <item x="224"/>
        <item x="201"/>
        <item x="163"/>
        <item x="205"/>
        <item x="229"/>
        <item x="261"/>
        <item x="71"/>
        <item x="110"/>
        <item x="166"/>
        <item x="171"/>
        <item x="125"/>
        <item x="238"/>
        <item x="253"/>
        <item x="269"/>
        <item x="115"/>
        <item x="167"/>
        <item x="188"/>
        <item x="154"/>
        <item x="212"/>
        <item x="114"/>
        <item x="1"/>
        <item x="245"/>
        <item x="107"/>
        <item x="52"/>
        <item x="80"/>
        <item x="258"/>
        <item x="227"/>
        <item x="89"/>
        <item x="153"/>
        <item x="67"/>
        <item x="252"/>
        <item x="86"/>
        <item x="192"/>
        <item x="111"/>
        <item x="170"/>
        <item x="183"/>
        <item x="189"/>
        <item x="202"/>
        <item x="27"/>
        <item x="196"/>
        <item x="164"/>
        <item x="48"/>
        <item x="40"/>
        <item x="78"/>
        <item x="103"/>
        <item x="182"/>
        <item x="59"/>
        <item x="75"/>
        <item x="144"/>
        <item x="38"/>
        <item x="293"/>
        <item x="271"/>
        <item x="109"/>
        <item x="286"/>
        <item x="76"/>
        <item x="128"/>
        <item x="106"/>
        <item x="66"/>
        <item x="72"/>
        <item x="158"/>
        <item x="218"/>
        <item x="275"/>
        <item x="233"/>
        <item x="260"/>
        <item x="265"/>
        <item x="4"/>
        <item x="226"/>
        <item x="221"/>
        <item x="129"/>
        <item x="180"/>
        <item x="119"/>
        <item x="151"/>
        <item x="90"/>
        <item x="104"/>
        <item x="10"/>
        <item x="142"/>
        <item x="117"/>
        <item x="68"/>
        <item x="143"/>
        <item x="194"/>
        <item x="250"/>
        <item x="105"/>
        <item x="60"/>
        <item x="257"/>
        <item x="156"/>
        <item x="21"/>
        <item x="243"/>
        <item x="20"/>
        <item x="97"/>
        <item x="17"/>
        <item x="126"/>
        <item x="290"/>
        <item x="209"/>
        <item x="98"/>
        <item x="56"/>
        <item x="145"/>
        <item x="87"/>
        <item x="174"/>
        <item x="50"/>
        <item x="43"/>
        <item x="94"/>
        <item x="181"/>
        <item x="219"/>
        <item x="251"/>
        <item x="279"/>
        <item x="49"/>
        <item x="120"/>
        <item x="133"/>
        <item x="292"/>
        <item x="127"/>
        <item x="159"/>
        <item x="280"/>
        <item x="231"/>
        <item x="88"/>
        <item x="81"/>
        <item x="276"/>
        <item x="197"/>
        <item x="234"/>
        <item x="263"/>
        <item x="285"/>
        <item x="246"/>
        <item x="266"/>
        <item x="137"/>
        <item x="165"/>
        <item x="136"/>
        <item x="175"/>
        <item x="237"/>
        <item x="270"/>
        <item x="203"/>
        <item x="213"/>
        <item x="24"/>
        <item x="2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6">
        <item x="1"/>
        <item x="128"/>
        <item x="19"/>
        <item x="114"/>
        <item x="48"/>
        <item x="100"/>
        <item x="29"/>
        <item x="124"/>
        <item x="70"/>
        <item x="84"/>
        <item x="82"/>
        <item x="5"/>
        <item x="76"/>
        <item x="91"/>
        <item x="3"/>
        <item x="36"/>
        <item x="92"/>
        <item x="62"/>
        <item x="16"/>
        <item x="94"/>
        <item x="58"/>
        <item x="27"/>
        <item x="32"/>
        <item x="133"/>
        <item x="68"/>
        <item x="45"/>
        <item x="55"/>
        <item x="77"/>
        <item x="8"/>
        <item x="105"/>
        <item x="44"/>
        <item x="30"/>
        <item x="108"/>
        <item x="88"/>
        <item x="95"/>
        <item x="17"/>
        <item x="126"/>
        <item x="72"/>
        <item x="6"/>
        <item x="117"/>
        <item x="103"/>
        <item x="106"/>
        <item x="119"/>
        <item x="11"/>
        <item x="50"/>
        <item x="131"/>
        <item x="46"/>
        <item x="31"/>
        <item x="61"/>
        <item x="54"/>
        <item x="37"/>
        <item x="65"/>
        <item x="26"/>
        <item x="2"/>
        <item x="107"/>
        <item x="78"/>
        <item x="9"/>
        <item x="93"/>
        <item x="87"/>
        <item x="21"/>
        <item x="59"/>
        <item x="63"/>
        <item x="34"/>
        <item x="7"/>
        <item x="33"/>
        <item x="28"/>
        <item x="130"/>
        <item x="57"/>
        <item x="120"/>
        <item x="35"/>
        <item x="83"/>
        <item x="51"/>
        <item x="79"/>
        <item x="74"/>
        <item x="10"/>
        <item x="47"/>
        <item x="20"/>
        <item x="12"/>
        <item x="22"/>
        <item x="115"/>
        <item x="89"/>
        <item x="14"/>
        <item x="66"/>
        <item x="25"/>
        <item x="111"/>
        <item x="49"/>
        <item x="99"/>
        <item x="40"/>
        <item x="39"/>
        <item x="42"/>
        <item x="69"/>
        <item x="110"/>
        <item x="41"/>
        <item x="129"/>
        <item x="97"/>
        <item x="60"/>
        <item x="71"/>
        <item x="18"/>
        <item x="122"/>
        <item x="13"/>
        <item x="98"/>
        <item x="67"/>
        <item x="113"/>
        <item x="38"/>
        <item x="123"/>
        <item x="101"/>
        <item x="116"/>
        <item x="64"/>
        <item x="134"/>
        <item x="85"/>
        <item x="121"/>
        <item x="102"/>
        <item x="86"/>
        <item x="80"/>
        <item x="75"/>
        <item x="109"/>
        <item x="24"/>
        <item x="53"/>
        <item x="125"/>
        <item x="52"/>
        <item x="96"/>
        <item x="73"/>
        <item x="4"/>
        <item x="15"/>
        <item x="23"/>
        <item x="56"/>
        <item x="43"/>
        <item x="90"/>
        <item x="104"/>
        <item x="81"/>
        <item x="112"/>
        <item x="118"/>
        <item x="127"/>
        <item x="132"/>
        <item x="0"/>
        <item t="default"/>
      </items>
    </pivotField>
  </pivotFields>
  <rowFields count="1">
    <field x="0"/>
  </rowFields>
  <rowItems count="7">
    <i>
      <x v="2"/>
    </i>
    <i>
      <x v="3"/>
    </i>
    <i>
      <x v="4"/>
    </i>
    <i>
      <x v="5"/>
    </i>
    <i>
      <x v="6"/>
    </i>
    <i>
      <x v="7"/>
    </i>
    <i t="grand">
      <x/>
    </i>
  </rowItems>
  <colFields count="1">
    <field x="-2"/>
  </colFields>
  <colItems count="4">
    <i>
      <x/>
    </i>
    <i i="1">
      <x v="1"/>
    </i>
    <i i="2">
      <x v="2"/>
    </i>
    <i i="3">
      <x v="3"/>
    </i>
  </colItems>
  <pageFields count="1">
    <pageField fld="1" hier="-1"/>
  </pageFields>
  <dataFields count="4">
    <dataField name="Somme de Mathematics scale Average" fld="2" baseField="0" baseItem="0"/>
    <dataField name="Somme de reading scale Average" fld="4" baseField="0" baseItem="0"/>
    <dataField name="Somme de science scale Average" fld="3" baseField="0" baseItem="0"/>
    <dataField name="Somme de GINI INDICATOR" fld="1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3"/>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ème FORVIA">
  <a:themeElements>
    <a:clrScheme name="FORVIA colors">
      <a:dk1>
        <a:srgbClr val="171616"/>
      </a:dk1>
      <a:lt1>
        <a:srgbClr val="FFFFFF"/>
      </a:lt1>
      <a:dk2>
        <a:srgbClr val="575757"/>
      </a:dk2>
      <a:lt2>
        <a:srgbClr val="8C8C8C"/>
      </a:lt2>
      <a:accent1>
        <a:srgbClr val="0024D3"/>
      </a:accent1>
      <a:accent2>
        <a:srgbClr val="F06473"/>
      </a:accent2>
      <a:accent3>
        <a:srgbClr val="00B48F"/>
      </a:accent3>
      <a:accent4>
        <a:srgbClr val="F58C35"/>
      </a:accent4>
      <a:accent5>
        <a:srgbClr val="00A9EB"/>
      </a:accent5>
      <a:accent6>
        <a:srgbClr val="FED34C"/>
      </a:accent6>
      <a:hlink>
        <a:srgbClr val="00A8BF"/>
      </a:hlink>
      <a:folHlink>
        <a:srgbClr val="954F72"/>
      </a:folHlink>
    </a:clrScheme>
    <a:fontScheme name="Custom 13">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 FORVIA" id="{60E62476-21FE-5744-877D-39560E163113}" vid="{445C1858-8236-7E48-A906-09034E102000}"/>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6F30-8875-1643-89E7-7BC82EBB4668}">
  <sheetPr codeName="Feuil1"/>
  <dimension ref="A1:Z313"/>
  <sheetViews>
    <sheetView tabSelected="1" topLeftCell="U1" zoomScale="116" zoomScaleNormal="100" workbookViewId="0">
      <selection activeCell="Z1" sqref="Z1"/>
    </sheetView>
  </sheetViews>
  <sheetFormatPr baseColWidth="10" defaultRowHeight="13" x14ac:dyDescent="0.15"/>
  <cols>
    <col min="1" max="2" width="34.33203125" customWidth="1"/>
    <col min="3" max="3" width="23.6640625" style="16" bestFit="1" customWidth="1"/>
    <col min="4" max="4" width="25.6640625" style="16" bestFit="1" customWidth="1"/>
    <col min="5" max="5" width="18.6640625" style="16" bestFit="1" customWidth="1"/>
    <col min="6" max="6" width="32.33203125" style="16" bestFit="1" customWidth="1"/>
    <col min="7" max="7" width="39.33203125" style="16" bestFit="1" customWidth="1"/>
    <col min="8" max="8" width="24.6640625" style="16" bestFit="1" customWidth="1"/>
    <col min="9" max="9" width="32.33203125" style="16" bestFit="1" customWidth="1"/>
    <col min="10" max="10" width="39.33203125" style="16" bestFit="1" customWidth="1"/>
    <col min="11" max="12" width="10.83203125" style="16"/>
    <col min="13" max="13" width="22.83203125" style="16" bestFit="1" customWidth="1"/>
    <col min="14" max="14" width="10.83203125" style="16"/>
    <col min="15" max="15" width="32.83203125" style="16" bestFit="1" customWidth="1"/>
    <col min="16" max="21" width="10.83203125" style="16"/>
    <col min="22" max="22" width="27.83203125" style="16" bestFit="1" customWidth="1"/>
    <col min="23" max="23" width="25.33203125" style="16" bestFit="1" customWidth="1"/>
    <col min="24" max="24" width="10.83203125" style="16"/>
    <col min="25" max="25" width="16.5" style="16" bestFit="1" customWidth="1"/>
    <col min="26" max="26" width="40.5" style="16" bestFit="1" customWidth="1"/>
  </cols>
  <sheetData>
    <row r="1" spans="1:26" x14ac:dyDescent="0.15">
      <c r="A1" s="2" t="s">
        <v>1</v>
      </c>
      <c r="B1" s="2" t="s">
        <v>2</v>
      </c>
      <c r="C1" s="25" t="s">
        <v>78</v>
      </c>
      <c r="D1" s="20" t="s">
        <v>79</v>
      </c>
      <c r="E1" s="21" t="s">
        <v>80</v>
      </c>
      <c r="F1" s="6" t="s">
        <v>65</v>
      </c>
      <c r="G1" s="6" t="s">
        <v>66</v>
      </c>
      <c r="H1" s="6" t="s">
        <v>67</v>
      </c>
      <c r="I1" s="6" t="s">
        <v>68</v>
      </c>
      <c r="J1" s="6" t="s">
        <v>69</v>
      </c>
      <c r="K1" s="6" t="s">
        <v>70</v>
      </c>
      <c r="L1" s="6" t="s">
        <v>71</v>
      </c>
      <c r="M1" s="6" t="s">
        <v>72</v>
      </c>
      <c r="N1" s="6" t="s">
        <v>73</v>
      </c>
      <c r="O1" s="6" t="s">
        <v>74</v>
      </c>
      <c r="P1" s="7" t="s">
        <v>75</v>
      </c>
      <c r="Q1" s="6" t="s">
        <v>76</v>
      </c>
      <c r="R1" s="6" t="s">
        <v>77</v>
      </c>
      <c r="S1" s="6" t="s">
        <v>81</v>
      </c>
      <c r="T1" s="24" t="s">
        <v>124</v>
      </c>
      <c r="U1" s="24" t="s">
        <v>136</v>
      </c>
      <c r="V1" s="24" t="s">
        <v>186</v>
      </c>
      <c r="W1" s="24" t="s">
        <v>190</v>
      </c>
      <c r="X1" s="24" t="s">
        <v>192</v>
      </c>
      <c r="Y1" s="24" t="s">
        <v>196</v>
      </c>
      <c r="Z1" s="24" t="s">
        <v>200</v>
      </c>
    </row>
    <row r="2" spans="1:26" x14ac:dyDescent="0.15">
      <c r="A2" s="3">
        <v>2022</v>
      </c>
      <c r="B2" s="3" t="s">
        <v>4</v>
      </c>
      <c r="C2" s="8">
        <v>472.35812463112501</v>
      </c>
      <c r="D2" s="8">
        <v>484.646614468069</v>
      </c>
      <c r="E2" s="8">
        <v>475.588873477959</v>
      </c>
      <c r="F2" s="9">
        <v>53.700492277130401</v>
      </c>
      <c r="G2" s="9">
        <v>-0.29873839625562998</v>
      </c>
      <c r="H2" s="9">
        <v>8.9982505435148895E-4</v>
      </c>
      <c r="I2" s="9">
        <v>-0.14067730657278299</v>
      </c>
      <c r="J2" s="9">
        <v>-3.4661331669581102E-2</v>
      </c>
      <c r="K2" s="9">
        <v>4.5655961258988897</v>
      </c>
      <c r="L2" s="9" t="s">
        <v>12</v>
      </c>
      <c r="M2" s="9" t="s">
        <v>12</v>
      </c>
      <c r="N2" s="9">
        <v>166.240622440968</v>
      </c>
      <c r="O2" s="9">
        <v>13.2521726383467</v>
      </c>
      <c r="P2" s="10">
        <v>0.83</v>
      </c>
      <c r="Q2" s="9">
        <v>-1.8258519344879199E-2</v>
      </c>
      <c r="R2" s="9">
        <v>-0.164117727736147</v>
      </c>
      <c r="S2" s="9">
        <v>2.3584575035485501E-3</v>
      </c>
      <c r="T2" s="9" t="s">
        <v>125</v>
      </c>
      <c r="U2" s="9" t="s">
        <v>125</v>
      </c>
      <c r="V2" s="9" t="s">
        <v>125</v>
      </c>
      <c r="W2" s="9" t="s">
        <v>125</v>
      </c>
      <c r="X2" s="15">
        <v>48388.078455760813</v>
      </c>
      <c r="Y2" s="15">
        <v>102611.91850000001</v>
      </c>
      <c r="Z2" s="15" t="s">
        <v>125</v>
      </c>
    </row>
    <row r="3" spans="1:26" x14ac:dyDescent="0.15">
      <c r="A3" s="4">
        <v>2022</v>
      </c>
      <c r="B3" s="4" t="s">
        <v>5</v>
      </c>
      <c r="C3" s="11">
        <v>487.08425354734698</v>
      </c>
      <c r="D3" s="11">
        <v>507.000869417628</v>
      </c>
      <c r="E3" s="11">
        <v>498.05093978372099</v>
      </c>
      <c r="F3" s="12">
        <v>59.2938153817882</v>
      </c>
      <c r="G3" s="12">
        <v>3.7333864435593E-2</v>
      </c>
      <c r="H3" s="12" t="s">
        <v>12</v>
      </c>
      <c r="I3" s="12" t="s">
        <v>12</v>
      </c>
      <c r="J3" s="12">
        <v>0.13025617724364899</v>
      </c>
      <c r="K3" s="12">
        <v>4.4238075884357198</v>
      </c>
      <c r="L3" s="12" t="s">
        <v>12</v>
      </c>
      <c r="M3" s="12" t="s">
        <v>12</v>
      </c>
      <c r="N3" s="12">
        <v>187</v>
      </c>
      <c r="O3" s="12">
        <v>13</v>
      </c>
      <c r="P3" s="13">
        <v>0.94099999999999995</v>
      </c>
      <c r="Q3" s="12">
        <v>-0.226701565688982</v>
      </c>
      <c r="R3" s="12" t="s">
        <v>12</v>
      </c>
      <c r="S3" s="12">
        <v>0.37936659954628799</v>
      </c>
      <c r="T3" s="12">
        <v>0</v>
      </c>
      <c r="U3" s="12" t="s">
        <v>130</v>
      </c>
      <c r="V3" s="12">
        <v>-11.37073230743408</v>
      </c>
      <c r="W3" s="12">
        <v>-21.5</v>
      </c>
      <c r="X3" s="12">
        <v>55949.216640699924</v>
      </c>
      <c r="Y3" s="12">
        <v>126020.06</v>
      </c>
      <c r="Z3" s="12">
        <f>_xlfn.XLOOKUP(B3,Feuil4!A:A,Feuil4!C:C)</f>
        <v>44</v>
      </c>
    </row>
    <row r="4" spans="1:26" x14ac:dyDescent="0.15">
      <c r="A4" s="5">
        <v>2022</v>
      </c>
      <c r="B4" s="5" t="s">
        <v>6</v>
      </c>
      <c r="C4" s="14">
        <v>487.26749908879401</v>
      </c>
      <c r="D4" s="14">
        <v>491.27095877058503</v>
      </c>
      <c r="E4" s="14">
        <v>480.40584721829902</v>
      </c>
      <c r="F4" s="15">
        <v>53.055445060791499</v>
      </c>
      <c r="G4" s="15">
        <v>-0.26404825728292503</v>
      </c>
      <c r="H4" s="15">
        <v>-2.3977471298647898E-2</v>
      </c>
      <c r="I4" s="15" t="s">
        <v>12</v>
      </c>
      <c r="J4" s="15">
        <v>-0.39363786738795198</v>
      </c>
      <c r="K4" s="15">
        <v>3.3233925163587599</v>
      </c>
      <c r="L4" s="15" t="s">
        <v>12</v>
      </c>
      <c r="M4" s="15" t="s">
        <v>12</v>
      </c>
      <c r="N4" s="15" t="s">
        <v>12</v>
      </c>
      <c r="O4" s="15">
        <v>10.0748380943787</v>
      </c>
      <c r="P4" s="10">
        <v>0.85</v>
      </c>
      <c r="Q4" s="15">
        <v>0.44498217817180102</v>
      </c>
      <c r="R4" s="15" t="s">
        <v>12</v>
      </c>
      <c r="S4" s="15">
        <v>6.9067359471310305E-2</v>
      </c>
      <c r="T4" s="15">
        <v>30.9</v>
      </c>
      <c r="U4" s="15" t="s">
        <v>127</v>
      </c>
      <c r="V4" s="15">
        <v>-19.055576324462891</v>
      </c>
      <c r="W4" s="15">
        <v>-20.3</v>
      </c>
      <c r="X4" s="15">
        <v>59537.539795822944</v>
      </c>
      <c r="Y4" s="15">
        <v>154067.1</v>
      </c>
      <c r="Z4" s="15">
        <f>_xlfn.XLOOKUP(B4,Feuil4!A:A,Feuil4!C:C)</f>
        <v>39</v>
      </c>
    </row>
    <row r="5" spans="1:26" x14ac:dyDescent="0.15">
      <c r="A5" s="4">
        <v>2022</v>
      </c>
      <c r="B5" s="4" t="s">
        <v>7</v>
      </c>
      <c r="C5" s="11">
        <v>489.48681680184899</v>
      </c>
      <c r="D5" s="11">
        <v>490.57834610681402</v>
      </c>
      <c r="E5" s="11">
        <v>478.852668384217</v>
      </c>
      <c r="F5" s="12">
        <v>53.389593791386901</v>
      </c>
      <c r="G5" s="12">
        <v>-0.25310341788482199</v>
      </c>
      <c r="H5" s="12"/>
      <c r="I5" s="12" t="s">
        <v>12</v>
      </c>
      <c r="J5" s="12">
        <v>-0.211792448557032</v>
      </c>
      <c r="K5" s="12">
        <v>4.2547463274023798</v>
      </c>
      <c r="L5" s="12" t="s">
        <v>12</v>
      </c>
      <c r="M5" s="12" t="s">
        <v>12</v>
      </c>
      <c r="N5" s="12">
        <v>149</v>
      </c>
      <c r="O5" s="12">
        <v>9</v>
      </c>
      <c r="P5" s="13">
        <v>0.87</v>
      </c>
      <c r="Q5" s="12">
        <v>2.1855229589011801E-2</v>
      </c>
      <c r="R5" s="12"/>
      <c r="S5" s="12">
        <v>8.2876333975502606E-2</v>
      </c>
      <c r="T5" s="12">
        <v>26.4</v>
      </c>
      <c r="U5" s="12" t="s">
        <v>127</v>
      </c>
      <c r="V5" s="12">
        <v>-7.6425609588623047</v>
      </c>
      <c r="W5" s="12">
        <v>-27.5</v>
      </c>
      <c r="X5" s="12">
        <v>59372.88967586201</v>
      </c>
      <c r="Y5" s="12">
        <v>130344.48</v>
      </c>
      <c r="Z5" s="12">
        <f>_xlfn.XLOOKUP(B5,Feuil4!A:A,Feuil4!C:C)</f>
        <v>27</v>
      </c>
    </row>
    <row r="6" spans="1:26" x14ac:dyDescent="0.15">
      <c r="A6" s="5">
        <v>2022</v>
      </c>
      <c r="B6" s="5" t="s">
        <v>8</v>
      </c>
      <c r="C6" s="14">
        <v>496.94789438732198</v>
      </c>
      <c r="D6" s="14">
        <v>515.01667592948297</v>
      </c>
      <c r="E6" s="14">
        <v>507.13289582796602</v>
      </c>
      <c r="F6" s="15">
        <v>58.694251785425301</v>
      </c>
      <c r="G6" s="15">
        <v>-0.25210810347156798</v>
      </c>
      <c r="H6" s="15">
        <v>0.03</v>
      </c>
      <c r="I6" s="15" t="s">
        <v>12</v>
      </c>
      <c r="J6" s="15" t="s">
        <v>12</v>
      </c>
      <c r="K6" s="15">
        <v>4</v>
      </c>
      <c r="L6" s="15" t="s">
        <v>12</v>
      </c>
      <c r="M6" s="15" t="s">
        <v>12</v>
      </c>
      <c r="N6" s="15" t="s">
        <v>12</v>
      </c>
      <c r="O6" s="15" t="s">
        <v>12</v>
      </c>
      <c r="P6" s="10">
        <v>0.92</v>
      </c>
      <c r="Q6" s="15">
        <v>-0.161734552913263</v>
      </c>
      <c r="R6" s="15" t="s">
        <v>12</v>
      </c>
      <c r="S6" s="15">
        <v>0.38110208304910698</v>
      </c>
      <c r="T6" s="15">
        <v>0</v>
      </c>
      <c r="U6" s="15" t="s">
        <v>128</v>
      </c>
      <c r="V6" s="15">
        <v>-12.325277328491209</v>
      </c>
      <c r="W6" s="15">
        <v>-24.3</v>
      </c>
      <c r="X6" s="15">
        <v>52789.675434009012</v>
      </c>
      <c r="Y6" s="15">
        <v>121678.16</v>
      </c>
      <c r="Z6" s="15">
        <f>_xlfn.XLOOKUP(B6,Feuil4!A:A,Feuil4!C:C)</f>
        <v>51</v>
      </c>
    </row>
    <row r="7" spans="1:26" x14ac:dyDescent="0.15">
      <c r="A7" s="4">
        <v>2022</v>
      </c>
      <c r="B7" s="4" t="s">
        <v>9</v>
      </c>
      <c r="C7" s="11">
        <v>411.69657073076701</v>
      </c>
      <c r="D7" s="11">
        <v>443.54340246277798</v>
      </c>
      <c r="E7" s="11">
        <v>447.97895734953102</v>
      </c>
      <c r="F7" s="12">
        <v>44.127175128271602</v>
      </c>
      <c r="G7" s="12">
        <v>-0.226802949710771</v>
      </c>
      <c r="H7" s="12" t="s">
        <v>12</v>
      </c>
      <c r="I7" s="12" t="s">
        <v>12</v>
      </c>
      <c r="J7" s="12">
        <v>0.39686203611620402</v>
      </c>
      <c r="K7" s="12">
        <v>7</v>
      </c>
      <c r="L7" s="12" t="s">
        <v>12</v>
      </c>
      <c r="M7" s="12" t="s">
        <v>12</v>
      </c>
      <c r="N7" s="12">
        <v>130.76256710303699</v>
      </c>
      <c r="O7" s="12">
        <v>18.374936581981199</v>
      </c>
      <c r="P7" s="13" t="s">
        <v>12</v>
      </c>
      <c r="Q7" s="12">
        <v>-0.22015998842257201</v>
      </c>
      <c r="R7" s="12" t="s">
        <v>12</v>
      </c>
      <c r="S7" s="12">
        <v>-0.50864929312434704</v>
      </c>
      <c r="T7" s="12">
        <v>43</v>
      </c>
      <c r="U7" s="12" t="s">
        <v>131</v>
      </c>
      <c r="V7" s="12">
        <v>-16.28679275512695</v>
      </c>
      <c r="W7" s="12">
        <v>-6.6</v>
      </c>
      <c r="X7" s="12">
        <v>28372.039569381031</v>
      </c>
      <c r="Y7" s="12">
        <v>60626.793999999994</v>
      </c>
      <c r="Z7" s="12">
        <f>_xlfn.XLOOKUP(B7,Feuil4!A:A,Feuil4!C:C)</f>
        <v>77</v>
      </c>
    </row>
    <row r="8" spans="1:26" x14ac:dyDescent="0.15">
      <c r="A8" s="5">
        <v>2022</v>
      </c>
      <c r="B8" s="5" t="s">
        <v>10</v>
      </c>
      <c r="C8" s="14">
        <v>382.69683523923197</v>
      </c>
      <c r="D8" s="14">
        <v>411.12067326415098</v>
      </c>
      <c r="E8" s="14">
        <v>408.66502644949003</v>
      </c>
      <c r="F8" s="15">
        <v>41.000777965089902</v>
      </c>
      <c r="G8" s="15">
        <v>-0.209093181032486</v>
      </c>
      <c r="H8" s="15" t="s">
        <v>12</v>
      </c>
      <c r="I8" s="15">
        <v>4.5472068441072599E-2</v>
      </c>
      <c r="J8" s="15">
        <v>0.52</v>
      </c>
      <c r="K8" s="15">
        <v>4.7308984082268504</v>
      </c>
      <c r="L8" s="15" t="s">
        <v>12</v>
      </c>
      <c r="M8" s="15" t="s">
        <v>12</v>
      </c>
      <c r="N8" s="15">
        <v>111.110627537993</v>
      </c>
      <c r="O8" s="15">
        <v>25.1025893158826</v>
      </c>
      <c r="P8" s="10">
        <v>0.85</v>
      </c>
      <c r="Q8" s="15">
        <v>-0.15690718765106801</v>
      </c>
      <c r="R8" s="15">
        <v>0.180623870572616</v>
      </c>
      <c r="S8" s="15">
        <v>-1.0651248656069801</v>
      </c>
      <c r="T8" s="15" t="s">
        <v>125</v>
      </c>
      <c r="U8" s="15" t="s">
        <v>131</v>
      </c>
      <c r="V8" s="15">
        <v>-8.9431600570678711</v>
      </c>
      <c r="W8" s="15">
        <v>-11.6</v>
      </c>
      <c r="X8" s="15">
        <v>16903.793882174508</v>
      </c>
      <c r="Y8" s="15">
        <v>37314.824999999997</v>
      </c>
      <c r="Z8" s="15">
        <f>_xlfn.XLOOKUP(B8,Feuil4!A:A,Feuil4!C:C)</f>
        <v>77</v>
      </c>
    </row>
    <row r="9" spans="1:26" x14ac:dyDescent="0.15">
      <c r="A9" s="4">
        <v>2022</v>
      </c>
      <c r="B9" s="4" t="s">
        <v>11</v>
      </c>
      <c r="C9" s="11">
        <v>384.57604106950799</v>
      </c>
      <c r="D9" s="11">
        <v>410.98662356029803</v>
      </c>
      <c r="E9" s="11">
        <v>415.23308021173199</v>
      </c>
      <c r="F9" s="12" t="s">
        <v>12</v>
      </c>
      <c r="G9" s="12">
        <v>-0.25354312051269501</v>
      </c>
      <c r="H9" s="12">
        <v>-0.17</v>
      </c>
      <c r="I9" s="12">
        <v>0.20099543921621599</v>
      </c>
      <c r="J9" s="12">
        <v>0.56441419127673298</v>
      </c>
      <c r="K9" s="12">
        <v>5.2850632090373697</v>
      </c>
      <c r="L9" s="12" t="s">
        <v>12</v>
      </c>
      <c r="M9" s="12" t="s">
        <v>12</v>
      </c>
      <c r="N9" s="12">
        <v>174</v>
      </c>
      <c r="O9" s="12">
        <v>17</v>
      </c>
      <c r="P9" s="13">
        <v>0.81</v>
      </c>
      <c r="Q9" s="12">
        <v>-9.4153900568885299E-2</v>
      </c>
      <c r="R9" s="12">
        <v>1.29574295969646E-2</v>
      </c>
      <c r="S9" s="12" t="s">
        <v>12</v>
      </c>
      <c r="T9" s="12" t="s">
        <v>125</v>
      </c>
      <c r="U9" s="12" t="s">
        <v>128</v>
      </c>
      <c r="V9" s="12">
        <v>-15.16378021240234</v>
      </c>
      <c r="W9" s="12">
        <v>-2.6</v>
      </c>
      <c r="X9" s="12">
        <v>22613.98137969663</v>
      </c>
      <c r="Y9" s="12"/>
      <c r="Z9" s="12">
        <f>_xlfn.XLOOKUP(B9,Feuil4!A:A,Feuil4!C:C)</f>
        <v>79</v>
      </c>
    </row>
    <row r="10" spans="1:26" x14ac:dyDescent="0.15">
      <c r="A10" s="5">
        <v>2022</v>
      </c>
      <c r="B10" s="5" t="s">
        <v>13</v>
      </c>
      <c r="C10" s="14">
        <v>486.99920801507602</v>
      </c>
      <c r="D10" s="14">
        <v>497.74204709768497</v>
      </c>
      <c r="E10" s="14">
        <v>488.60366867451103</v>
      </c>
      <c r="F10" s="15">
        <v>50.883136085851703</v>
      </c>
      <c r="G10" s="15">
        <v>-0.165843531529419</v>
      </c>
      <c r="H10" s="15">
        <v>8.9187121488986304E-2</v>
      </c>
      <c r="I10" s="15" t="s">
        <v>12</v>
      </c>
      <c r="J10" s="15">
        <v>-0.49632303975843001</v>
      </c>
      <c r="K10" s="15">
        <v>4.8302672398138498</v>
      </c>
      <c r="L10" s="15" t="s">
        <v>12</v>
      </c>
      <c r="M10" s="15" t="s">
        <v>12</v>
      </c>
      <c r="N10" s="15">
        <v>99.055230233993001</v>
      </c>
      <c r="O10" s="15">
        <v>13.2413011585574</v>
      </c>
      <c r="P10" s="10">
        <v>0.87</v>
      </c>
      <c r="Q10" s="15">
        <v>-0.279894787512875</v>
      </c>
      <c r="R10" s="15" t="s">
        <v>12</v>
      </c>
      <c r="S10" s="15">
        <v>-0.104086068916066</v>
      </c>
      <c r="T10" s="15">
        <v>25.9</v>
      </c>
      <c r="U10" s="15" t="s">
        <v>127</v>
      </c>
      <c r="V10" s="15">
        <v>-7.423832893371582</v>
      </c>
      <c r="W10" s="15">
        <v>-29.1</v>
      </c>
      <c r="X10" s="15">
        <v>45707.471137922344</v>
      </c>
      <c r="Y10" s="15">
        <v>100835.2</v>
      </c>
      <c r="Z10" s="15">
        <f>_xlfn.XLOOKUP(B10,Feuil4!A:A,Feuil4!C:C)</f>
        <v>46</v>
      </c>
    </row>
    <row r="11" spans="1:26" x14ac:dyDescent="0.15">
      <c r="A11" s="4">
        <v>2022</v>
      </c>
      <c r="B11" s="4" t="s">
        <v>14</v>
      </c>
      <c r="C11" s="11">
        <v>489.27387686400698</v>
      </c>
      <c r="D11" s="11">
        <v>493.81571163573102</v>
      </c>
      <c r="E11" s="11">
        <v>488.80099073132698</v>
      </c>
      <c r="F11" s="12">
        <v>62.2895475661348</v>
      </c>
      <c r="G11" s="12">
        <v>-4.3775353482028399E-2</v>
      </c>
      <c r="H11" s="12">
        <v>9.4962434502755405E-2</v>
      </c>
      <c r="I11" s="12" t="s">
        <v>12</v>
      </c>
      <c r="J11" s="12">
        <v>3.0886562584902101E-3</v>
      </c>
      <c r="K11" s="12">
        <v>5.6240251870440501</v>
      </c>
      <c r="L11" s="12" t="s">
        <v>12</v>
      </c>
      <c r="M11" s="12" t="s">
        <v>12</v>
      </c>
      <c r="N11" s="12">
        <v>76</v>
      </c>
      <c r="O11" s="12">
        <v>12</v>
      </c>
      <c r="P11" s="13" t="s">
        <v>12</v>
      </c>
      <c r="Q11" s="12">
        <v>0.109186958787889</v>
      </c>
      <c r="R11" s="12" t="s">
        <v>12</v>
      </c>
      <c r="S11" s="12">
        <v>0.47607773953594001</v>
      </c>
      <c r="T11" s="12">
        <v>29.3</v>
      </c>
      <c r="U11" s="12" t="s">
        <v>127</v>
      </c>
      <c r="V11" s="12">
        <v>-11.670992851257321</v>
      </c>
      <c r="W11" s="12">
        <v>-20.7</v>
      </c>
      <c r="X11" s="12">
        <v>64672.225839090897</v>
      </c>
      <c r="Y11" s="12">
        <v>130685.34000000001</v>
      </c>
      <c r="Z11" s="12">
        <f>_xlfn.XLOOKUP(B11,Feuil4!A:A,Feuil4!C:C)</f>
        <v>34</v>
      </c>
    </row>
    <row r="12" spans="1:26" x14ac:dyDescent="0.15">
      <c r="A12" s="5">
        <v>2022</v>
      </c>
      <c r="B12" s="5" t="s">
        <v>15</v>
      </c>
      <c r="C12" s="14">
        <v>509.94695312703101</v>
      </c>
      <c r="D12" s="14">
        <v>525.81177838894303</v>
      </c>
      <c r="E12" s="14">
        <v>511.03033147055498</v>
      </c>
      <c r="F12" s="15">
        <v>54.918360740770098</v>
      </c>
      <c r="G12" s="15">
        <v>-0.12847185483537599</v>
      </c>
      <c r="H12" s="15" t="s">
        <v>12</v>
      </c>
      <c r="I12" s="15" t="s">
        <v>12</v>
      </c>
      <c r="J12" s="15">
        <v>-0.19360039014074601</v>
      </c>
      <c r="K12" s="15">
        <v>4.88334781872266</v>
      </c>
      <c r="L12" s="15" t="s">
        <v>12</v>
      </c>
      <c r="M12" s="15" t="s">
        <v>12</v>
      </c>
      <c r="N12" s="15">
        <v>71.225471757856397</v>
      </c>
      <c r="O12" s="15">
        <v>11.916763026560901</v>
      </c>
      <c r="P12" s="10">
        <v>0.77</v>
      </c>
      <c r="Q12" s="15">
        <v>-0.13748266427781899</v>
      </c>
      <c r="R12" s="15" t="s">
        <v>12</v>
      </c>
      <c r="S12" s="15">
        <v>0.15072518801656601</v>
      </c>
      <c r="T12" s="15">
        <v>32.299999999999997</v>
      </c>
      <c r="U12" s="15" t="s">
        <v>127</v>
      </c>
      <c r="V12" s="15">
        <v>-6.3189001083374023</v>
      </c>
      <c r="W12" s="15">
        <v>-26.7</v>
      </c>
      <c r="X12" s="15">
        <v>42380.967545316598</v>
      </c>
      <c r="Y12" s="15"/>
      <c r="Z12" s="15">
        <f>_xlfn.XLOOKUP(B12,Feuil4!A:A,Feuil4!C:C)</f>
        <v>26</v>
      </c>
    </row>
    <row r="13" spans="1:26" x14ac:dyDescent="0.15">
      <c r="A13" s="4">
        <v>2022</v>
      </c>
      <c r="B13" s="4" t="s">
        <v>16</v>
      </c>
      <c r="C13" s="11">
        <v>484.13922564973097</v>
      </c>
      <c r="D13" s="11">
        <v>510.95885065682899</v>
      </c>
      <c r="E13" s="11">
        <v>490.21768492422501</v>
      </c>
      <c r="F13" s="12">
        <v>55.5098570253612</v>
      </c>
      <c r="G13" s="12">
        <v>-0.39438433003196999</v>
      </c>
      <c r="H13" s="12" t="s">
        <v>12</v>
      </c>
      <c r="I13" s="12" t="s">
        <v>12</v>
      </c>
      <c r="J13" s="12">
        <v>-2.1322556700308498E-3</v>
      </c>
      <c r="K13" s="12">
        <v>4.17620395868218</v>
      </c>
      <c r="L13" s="12" t="s">
        <v>12</v>
      </c>
      <c r="M13" s="12" t="s">
        <v>12</v>
      </c>
      <c r="N13" s="12">
        <v>115.790330767763</v>
      </c>
      <c r="O13" s="12">
        <v>10.9022447006265</v>
      </c>
      <c r="P13" s="13">
        <v>0.88</v>
      </c>
      <c r="Q13" s="12">
        <v>0.101157762839152</v>
      </c>
      <c r="R13" s="12" t="s">
        <v>12</v>
      </c>
      <c r="S13" s="12">
        <v>0.25848283682790302</v>
      </c>
      <c r="T13" s="12">
        <v>27.9</v>
      </c>
      <c r="U13" s="12" t="s">
        <v>127</v>
      </c>
      <c r="V13" s="12">
        <v>5.0681619644165039</v>
      </c>
      <c r="W13" s="12">
        <v>-44.7</v>
      </c>
      <c r="X13" s="12">
        <v>55203.328302580951</v>
      </c>
      <c r="Y13" s="12">
        <v>126777.01</v>
      </c>
      <c r="Z13" s="12">
        <f>_xlfn.XLOOKUP(B13,Feuil4!A:A,Feuil4!C:C)</f>
        <v>33</v>
      </c>
    </row>
    <row r="14" spans="1:26" x14ac:dyDescent="0.15">
      <c r="A14" s="5">
        <v>2022</v>
      </c>
      <c r="B14" s="5" t="s">
        <v>17</v>
      </c>
      <c r="C14" s="14">
        <v>473.94441830649401</v>
      </c>
      <c r="D14" s="14">
        <v>487.22527848887199</v>
      </c>
      <c r="E14" s="14">
        <v>473.85215790454299</v>
      </c>
      <c r="F14" s="15">
        <v>53.075123600931697</v>
      </c>
      <c r="G14" s="15">
        <v>-0.21940103114492601</v>
      </c>
      <c r="H14" s="15" t="s">
        <v>12</v>
      </c>
      <c r="I14" s="15" t="s">
        <v>12</v>
      </c>
      <c r="J14" s="15">
        <v>-0.26265549336414501</v>
      </c>
      <c r="K14" s="15">
        <v>4.0397096028453596</v>
      </c>
      <c r="L14" s="15" t="s">
        <v>12</v>
      </c>
      <c r="M14" s="15" t="s">
        <v>12</v>
      </c>
      <c r="N14" s="15">
        <v>295</v>
      </c>
      <c r="O14" s="15">
        <v>12</v>
      </c>
      <c r="P14" s="10">
        <v>0.81</v>
      </c>
      <c r="Q14" s="15">
        <v>-2.6856753886927001E-2</v>
      </c>
      <c r="R14" s="15" t="s">
        <v>12</v>
      </c>
      <c r="S14" s="15">
        <v>1.85389285668058E-4</v>
      </c>
      <c r="T14" s="15">
        <v>31.2</v>
      </c>
      <c r="U14" s="15" t="s">
        <v>127</v>
      </c>
      <c r="V14" s="15">
        <v>-9.7898731231689453</v>
      </c>
      <c r="W14" s="15">
        <v>-20.2</v>
      </c>
      <c r="X14" s="15">
        <v>50996.43717374852</v>
      </c>
      <c r="Y14" s="15">
        <v>109584.315</v>
      </c>
      <c r="Z14" s="15">
        <f>_xlfn.XLOOKUP(B14,Feuil4!A:A,Feuil4!C:C)</f>
        <v>12</v>
      </c>
    </row>
    <row r="15" spans="1:26" x14ac:dyDescent="0.15">
      <c r="A15" s="4">
        <v>2022</v>
      </c>
      <c r="B15" s="4" t="s">
        <v>18</v>
      </c>
      <c r="C15" s="11">
        <v>474.82645387935202</v>
      </c>
      <c r="D15" s="11">
        <v>492.42672947107798</v>
      </c>
      <c r="E15" s="11">
        <v>479.794024717816</v>
      </c>
      <c r="F15" s="12">
        <v>51.9</v>
      </c>
      <c r="G15" s="12">
        <v>-0.20320797272301799</v>
      </c>
      <c r="H15" s="12" t="s">
        <v>12</v>
      </c>
      <c r="I15" s="12" t="s">
        <v>12</v>
      </c>
      <c r="J15" s="12">
        <v>-0.15</v>
      </c>
      <c r="K15" s="12">
        <v>4</v>
      </c>
      <c r="L15" s="12" t="s">
        <v>12</v>
      </c>
      <c r="M15" s="12" t="s">
        <v>12</v>
      </c>
      <c r="N15" s="12">
        <v>102</v>
      </c>
      <c r="O15" s="12">
        <v>14</v>
      </c>
      <c r="P15" s="13">
        <v>0.86</v>
      </c>
      <c r="Q15" s="12">
        <v>0.26987259279776699</v>
      </c>
      <c r="R15" s="12"/>
      <c r="S15" s="12">
        <v>-0.136990019180072</v>
      </c>
      <c r="T15" s="12">
        <v>0</v>
      </c>
      <c r="U15" s="12" t="s">
        <v>127</v>
      </c>
      <c r="V15" s="12">
        <v>-11.371500015258791</v>
      </c>
      <c r="W15" s="12">
        <v>-19.399999999999999</v>
      </c>
      <c r="X15" s="12">
        <v>58276.015095214258</v>
      </c>
      <c r="Y15" s="12">
        <v>121061.54000000001</v>
      </c>
      <c r="Z15" s="12">
        <f>_xlfn.XLOOKUP(B15,Feuil4!A:A,Feuil4!C:C)</f>
        <v>38</v>
      </c>
    </row>
    <row r="16" spans="1:26" x14ac:dyDescent="0.15">
      <c r="A16" s="5">
        <v>2022</v>
      </c>
      <c r="B16" s="5" t="s">
        <v>19</v>
      </c>
      <c r="C16" s="14">
        <v>430.14632180949002</v>
      </c>
      <c r="D16" s="14">
        <v>440.78606041342698</v>
      </c>
      <c r="E16" s="14">
        <v>438.44062513755603</v>
      </c>
      <c r="F16" s="15">
        <v>51.139757603799303</v>
      </c>
      <c r="G16" s="15">
        <v>-0.25695866405941797</v>
      </c>
      <c r="H16" s="15" t="s">
        <v>12</v>
      </c>
      <c r="I16" s="15" t="s">
        <v>12</v>
      </c>
      <c r="J16" s="15">
        <v>-0.39718982480908899</v>
      </c>
      <c r="K16" s="15">
        <v>5.1140539501420497</v>
      </c>
      <c r="L16" s="15" t="s">
        <v>12</v>
      </c>
      <c r="M16" s="15" t="s">
        <v>12</v>
      </c>
      <c r="N16" s="15">
        <v>95.296987326530299</v>
      </c>
      <c r="O16" s="15" t="s">
        <v>138</v>
      </c>
      <c r="P16" s="10">
        <v>0.88</v>
      </c>
      <c r="Q16" s="15">
        <v>-5.9726515808331299E-2</v>
      </c>
      <c r="R16" s="15" t="s">
        <v>12</v>
      </c>
      <c r="S16" s="15">
        <v>-0.15486959374031001</v>
      </c>
      <c r="T16" s="15">
        <v>33.4</v>
      </c>
      <c r="U16" s="15" t="s">
        <v>127</v>
      </c>
      <c r="V16" s="15">
        <v>-5.9097557067871094</v>
      </c>
      <c r="W16" s="15">
        <v>-25.4</v>
      </c>
      <c r="X16" s="15">
        <v>31485.886890085323</v>
      </c>
      <c r="Y16" s="15">
        <v>71509.490000000005</v>
      </c>
      <c r="Z16" s="15">
        <f>_xlfn.XLOOKUP(B16,Feuil4!A:A,Feuil4!C:C)</f>
        <v>37</v>
      </c>
    </row>
    <row r="17" spans="1:26" x14ac:dyDescent="0.15">
      <c r="A17" s="4">
        <v>2022</v>
      </c>
      <c r="B17" s="4" t="s">
        <v>20</v>
      </c>
      <c r="C17" s="11">
        <v>472.77612223890901</v>
      </c>
      <c r="D17" s="11">
        <v>485.89015836823398</v>
      </c>
      <c r="E17" s="11">
        <v>472.97472595734598</v>
      </c>
      <c r="F17" s="12">
        <v>51.0779321227051</v>
      </c>
      <c r="G17" s="12">
        <v>-0.420768191179201</v>
      </c>
      <c r="H17" s="12">
        <v>0.102845585336579</v>
      </c>
      <c r="I17" s="12" t="s">
        <v>12</v>
      </c>
      <c r="J17" s="12">
        <v>-0.22273788113680601</v>
      </c>
      <c r="K17" s="12">
        <v>4.0257243012655604</v>
      </c>
      <c r="L17" s="12" t="s">
        <v>12</v>
      </c>
      <c r="M17" s="12" t="s">
        <v>12</v>
      </c>
      <c r="N17" s="12">
        <v>135</v>
      </c>
      <c r="O17" s="12">
        <v>11</v>
      </c>
      <c r="P17" s="13" t="s">
        <v>12</v>
      </c>
      <c r="Q17" s="12">
        <v>0.138588123455989</v>
      </c>
      <c r="R17" s="12" t="s">
        <v>12</v>
      </c>
      <c r="S17" s="12">
        <v>2.97822586707247E-3</v>
      </c>
      <c r="T17" s="12">
        <v>0</v>
      </c>
      <c r="U17" s="12" t="s">
        <v>127</v>
      </c>
      <c r="V17" s="12">
        <v>-14.857639312744141</v>
      </c>
      <c r="W17" s="12">
        <v>-16.899999999999999</v>
      </c>
      <c r="X17" s="12">
        <v>36765.035165067457</v>
      </c>
      <c r="Y17" s="12">
        <v>78968.656000000003</v>
      </c>
      <c r="Z17" s="12">
        <f>_xlfn.XLOOKUP(B17,Feuil4!A:A,Feuil4!C:C)</f>
        <v>39</v>
      </c>
    </row>
    <row r="18" spans="1:26" x14ac:dyDescent="0.15">
      <c r="A18" s="5">
        <v>2022</v>
      </c>
      <c r="B18" s="5" t="s">
        <v>21</v>
      </c>
      <c r="C18" s="14">
        <v>458.91401444354199</v>
      </c>
      <c r="D18" s="14">
        <v>446.96711422657302</v>
      </c>
      <c r="E18" s="14">
        <v>435.92299455682598</v>
      </c>
      <c r="F18" s="15">
        <v>60.4632455431748</v>
      </c>
      <c r="G18" s="15">
        <v>-0.44745929765769499</v>
      </c>
      <c r="H18" s="15" t="s">
        <v>12</v>
      </c>
      <c r="I18" s="15" t="s">
        <v>12</v>
      </c>
      <c r="J18" s="15">
        <v>0.175436322365039</v>
      </c>
      <c r="K18" s="15">
        <v>5.5966186253997696</v>
      </c>
      <c r="L18" s="15" t="s">
        <v>12</v>
      </c>
      <c r="M18" s="15" t="s">
        <v>12</v>
      </c>
      <c r="N18" s="15" t="s">
        <v>12</v>
      </c>
      <c r="O18" s="15">
        <v>11</v>
      </c>
      <c r="P18" s="10">
        <v>0.66</v>
      </c>
      <c r="Q18" s="15">
        <v>0.16405403939413399</v>
      </c>
      <c r="R18" s="15" t="s">
        <v>12</v>
      </c>
      <c r="S18" s="15">
        <v>0.37810512367993598</v>
      </c>
      <c r="T18" s="15">
        <v>0</v>
      </c>
      <c r="U18" s="15" t="s">
        <v>127</v>
      </c>
      <c r="V18" s="15">
        <v>-3.399434089660645</v>
      </c>
      <c r="W18" s="15">
        <v>-35.5</v>
      </c>
      <c r="X18" s="15">
        <v>57967.283674222323</v>
      </c>
      <c r="Y18" s="15">
        <v>149636.85999999999</v>
      </c>
      <c r="Z18" s="15">
        <f>_xlfn.XLOOKUP(B18,Feuil4!A:A,Feuil4!C:C)</f>
        <v>6</v>
      </c>
    </row>
    <row r="19" spans="1:26" x14ac:dyDescent="0.15">
      <c r="A19" s="4">
        <v>2022</v>
      </c>
      <c r="B19" s="4" t="s">
        <v>22</v>
      </c>
      <c r="C19" s="11">
        <v>491.64827959407398</v>
      </c>
      <c r="D19" s="11">
        <v>503.84553694971498</v>
      </c>
      <c r="E19" s="11">
        <v>516.00997511441506</v>
      </c>
      <c r="F19" s="12">
        <v>59.7250783642708</v>
      </c>
      <c r="G19" s="12">
        <v>-0.29517710367590599</v>
      </c>
      <c r="H19" s="12" t="s">
        <v>12</v>
      </c>
      <c r="I19" s="12" t="s">
        <v>12</v>
      </c>
      <c r="J19" s="12">
        <v>7.0590126556413099E-2</v>
      </c>
      <c r="K19" s="12">
        <v>3.9201593014080198</v>
      </c>
      <c r="L19" s="12" t="s">
        <v>12</v>
      </c>
      <c r="M19" s="12" t="s">
        <v>12</v>
      </c>
      <c r="N19" s="12">
        <v>128.95801279629001</v>
      </c>
      <c r="O19" s="12">
        <v>12.412020907437499</v>
      </c>
      <c r="P19" s="13">
        <v>0.9</v>
      </c>
      <c r="Q19" s="12">
        <v>-0.132055069750694</v>
      </c>
      <c r="R19" s="12">
        <v>-0.117192590292706</v>
      </c>
      <c r="S19" s="12">
        <v>0.33297913554424302</v>
      </c>
      <c r="T19" s="12">
        <v>29.9</v>
      </c>
      <c r="U19" s="12" t="s">
        <v>127</v>
      </c>
      <c r="V19" s="12">
        <v>-12.72527503967285</v>
      </c>
      <c r="W19" s="12">
        <v>-18.3</v>
      </c>
      <c r="X19" s="12">
        <v>105355.19861452862</v>
      </c>
      <c r="Y19" s="12">
        <v>94167.038</v>
      </c>
      <c r="Z19" s="12">
        <f>_xlfn.XLOOKUP(B19,Feuil4!A:A,Feuil4!C:C)</f>
        <v>26</v>
      </c>
    </row>
    <row r="20" spans="1:26" x14ac:dyDescent="0.15">
      <c r="A20" s="5">
        <v>2022</v>
      </c>
      <c r="B20" s="5" t="s">
        <v>23</v>
      </c>
      <c r="C20" s="14">
        <v>457.89666661311901</v>
      </c>
      <c r="D20" s="14">
        <v>464.75182530289101</v>
      </c>
      <c r="E20" s="14">
        <v>473.83269836397801</v>
      </c>
      <c r="F20" s="15">
        <v>61.953581547711998</v>
      </c>
      <c r="G20" s="15" t="s">
        <v>12</v>
      </c>
      <c r="H20" s="15" t="s">
        <v>12</v>
      </c>
      <c r="I20" s="15" t="s">
        <v>12</v>
      </c>
      <c r="J20" s="15">
        <v>0.09</v>
      </c>
      <c r="K20" s="15">
        <v>5.5570429959530401</v>
      </c>
      <c r="L20" s="15" t="s">
        <v>12</v>
      </c>
      <c r="M20" s="15" t="s">
        <v>12</v>
      </c>
      <c r="N20" s="15">
        <v>171.920694584736</v>
      </c>
      <c r="O20" s="15">
        <v>11</v>
      </c>
      <c r="P20" s="10">
        <v>0.83</v>
      </c>
      <c r="Q20" s="15" t="s">
        <v>12</v>
      </c>
      <c r="R20" s="15" t="s">
        <v>12</v>
      </c>
      <c r="S20" s="15">
        <v>0.27995699761137099</v>
      </c>
      <c r="T20" s="15">
        <v>0</v>
      </c>
      <c r="U20" s="15" t="s">
        <v>132</v>
      </c>
      <c r="V20" s="15">
        <v>-11.21268272399902</v>
      </c>
      <c r="W20" s="15">
        <v>-23.1</v>
      </c>
      <c r="X20" s="15">
        <v>43450.550741679202</v>
      </c>
      <c r="Y20" s="15">
        <v>94352.822000000015</v>
      </c>
      <c r="Z20" s="15">
        <f>_xlfn.XLOOKUP(B20,Feuil4!A:A,Feuil4!C:C)</f>
        <v>33</v>
      </c>
    </row>
    <row r="21" spans="1:26" x14ac:dyDescent="0.15">
      <c r="A21" s="4">
        <v>2022</v>
      </c>
      <c r="B21" s="4" t="s">
        <v>24</v>
      </c>
      <c r="C21" s="11">
        <v>471.25947533329497</v>
      </c>
      <c r="D21" s="11">
        <v>477.46336566973901</v>
      </c>
      <c r="E21" s="11">
        <v>481.59827768793701</v>
      </c>
      <c r="F21" s="12">
        <v>49.431773601209798</v>
      </c>
      <c r="G21" s="12">
        <v>-0.49066922351837</v>
      </c>
      <c r="H21" s="12">
        <v>-0.14788418766639599</v>
      </c>
      <c r="I21" s="12" t="s">
        <v>12</v>
      </c>
      <c r="J21" s="12">
        <v>-0.16053228627564201</v>
      </c>
      <c r="K21" s="12">
        <v>4.2584989280839398</v>
      </c>
      <c r="L21" s="12" t="s">
        <v>12</v>
      </c>
      <c r="M21" s="12" t="s">
        <v>12</v>
      </c>
      <c r="N21" s="12">
        <v>192.86030590996199</v>
      </c>
      <c r="O21" s="12">
        <v>8.0992772192697604</v>
      </c>
      <c r="P21" s="13">
        <v>0.74</v>
      </c>
      <c r="Q21" s="12">
        <v>-6.4720885371625098E-2</v>
      </c>
      <c r="R21" s="12">
        <v>-0.168524878631509</v>
      </c>
      <c r="S21" s="12">
        <v>-0.10021047634097301</v>
      </c>
      <c r="T21" s="12">
        <v>33.700000000000003</v>
      </c>
      <c r="U21" s="12" t="s">
        <v>127</v>
      </c>
      <c r="V21" s="12">
        <v>-21.06221961975098</v>
      </c>
      <c r="W21" s="12">
        <v>-19.100000000000001</v>
      </c>
      <c r="X21" s="12">
        <v>46373.51550707654</v>
      </c>
      <c r="Y21" s="12">
        <v>105754.31999999999</v>
      </c>
      <c r="Z21" s="12">
        <f>_xlfn.XLOOKUP(B21,Feuil4!A:A,Feuil4!C:C)</f>
        <v>38</v>
      </c>
    </row>
    <row r="22" spans="1:26" x14ac:dyDescent="0.15">
      <c r="A22" s="5">
        <v>2022</v>
      </c>
      <c r="B22" s="5" t="s">
        <v>25</v>
      </c>
      <c r="C22" s="14">
        <v>535.57930594453205</v>
      </c>
      <c r="D22" s="14">
        <v>546.63445322239102</v>
      </c>
      <c r="E22" s="14">
        <v>515.85461354437098</v>
      </c>
      <c r="F22" s="15">
        <v>53.927255096493802</v>
      </c>
      <c r="G22" s="15">
        <v>-0.72255861550130995</v>
      </c>
      <c r="H22" s="15" t="s">
        <v>12</v>
      </c>
      <c r="I22" s="15" t="s">
        <v>12</v>
      </c>
      <c r="J22" s="15">
        <v>0.24059202616324099</v>
      </c>
      <c r="K22" s="15">
        <v>4.9604932674958198</v>
      </c>
      <c r="L22" s="15" t="s">
        <v>12</v>
      </c>
      <c r="M22" s="15" t="s">
        <v>12</v>
      </c>
      <c r="N22" s="15">
        <v>262.02851766514601</v>
      </c>
      <c r="O22" s="15">
        <v>11.4734789706336</v>
      </c>
      <c r="P22" s="10">
        <v>0.96</v>
      </c>
      <c r="Q22" s="15">
        <v>0.24595837884086699</v>
      </c>
      <c r="R22" s="15" t="s">
        <v>12</v>
      </c>
      <c r="S22" s="15">
        <v>-6.8250226610113802E-3</v>
      </c>
      <c r="T22" s="15">
        <v>0</v>
      </c>
      <c r="U22" s="15" t="s">
        <v>129</v>
      </c>
      <c r="V22" s="15">
        <v>-8.9132423400878906</v>
      </c>
      <c r="W22" s="15">
        <v>-16.600000000000001</v>
      </c>
      <c r="X22" s="15">
        <v>42139.987292184698</v>
      </c>
      <c r="Y22" s="15">
        <v>101399.34000000001</v>
      </c>
      <c r="Z22" s="15">
        <f>_xlfn.XLOOKUP(B22,Feuil4!A:A,Feuil4!C:C)</f>
        <v>11</v>
      </c>
    </row>
    <row r="23" spans="1:26" x14ac:dyDescent="0.15">
      <c r="A23" s="4">
        <v>2022</v>
      </c>
      <c r="B23" s="4" t="s">
        <v>26</v>
      </c>
      <c r="C23" s="11">
        <v>527.30250200027797</v>
      </c>
      <c r="D23" s="11">
        <v>527.82241827777602</v>
      </c>
      <c r="E23" s="11">
        <v>515.41539209757502</v>
      </c>
      <c r="F23" s="12">
        <v>57.819385743463997</v>
      </c>
      <c r="G23" s="12">
        <v>-0.91216038520979703</v>
      </c>
      <c r="H23" s="12" t="s">
        <v>12</v>
      </c>
      <c r="I23" s="12">
        <v>-0.66849942737563695</v>
      </c>
      <c r="J23" s="12">
        <v>6.5813419641616203E-2</v>
      </c>
      <c r="K23" s="12">
        <v>4.2119973382623597</v>
      </c>
      <c r="L23" s="12" t="s">
        <v>12</v>
      </c>
      <c r="M23" s="12" t="s">
        <v>12</v>
      </c>
      <c r="N23" s="12">
        <v>235.194988961874</v>
      </c>
      <c r="O23" s="12">
        <v>11.724466709728</v>
      </c>
      <c r="P23" s="13">
        <v>0.84</v>
      </c>
      <c r="Q23" s="12">
        <v>0.262511644153688</v>
      </c>
      <c r="R23" s="12">
        <v>-0.47347519740696697</v>
      </c>
      <c r="S23" s="12">
        <v>0.22438568641530299</v>
      </c>
      <c r="T23" s="12" t="s">
        <v>125</v>
      </c>
      <c r="U23" s="12" t="s">
        <v>129</v>
      </c>
      <c r="V23" s="12">
        <v>-5.08001708984375</v>
      </c>
      <c r="W23" s="12">
        <v>-34.200000000000003</v>
      </c>
      <c r="X23" s="12">
        <v>46888.791402967763</v>
      </c>
      <c r="Y23" s="12">
        <v>144484.99</v>
      </c>
      <c r="Z23" s="12">
        <f>_xlfn.XLOOKUP(B23,Feuil4!A:A,Feuil4!C:C)</f>
        <v>39</v>
      </c>
    </row>
    <row r="24" spans="1:26" x14ac:dyDescent="0.15">
      <c r="A24" s="5">
        <v>2022</v>
      </c>
      <c r="B24" s="5" t="s">
        <v>27</v>
      </c>
      <c r="C24" s="14">
        <v>483.159455120676</v>
      </c>
      <c r="D24" s="14">
        <v>493.84276710497699</v>
      </c>
      <c r="E24" s="14">
        <v>474.568650865282</v>
      </c>
      <c r="F24" s="15">
        <v>52.225842533400602</v>
      </c>
      <c r="G24" s="15">
        <v>5.26530498401293E-2</v>
      </c>
      <c r="H24" s="15" t="s">
        <v>12</v>
      </c>
      <c r="I24" s="15" t="s">
        <v>12</v>
      </c>
      <c r="J24" s="15">
        <v>-0.21561088272836401</v>
      </c>
      <c r="K24" s="15">
        <v>6.0203955599466799</v>
      </c>
      <c r="L24" s="15" t="s">
        <v>12</v>
      </c>
      <c r="M24" s="15" t="s">
        <v>12</v>
      </c>
      <c r="N24" s="15">
        <v>63</v>
      </c>
      <c r="O24" s="15">
        <v>11</v>
      </c>
      <c r="P24" s="10" t="s">
        <v>12</v>
      </c>
      <c r="Q24" s="15">
        <v>-0.245374776496944</v>
      </c>
      <c r="R24" s="15">
        <v>-0.57999999999999996</v>
      </c>
      <c r="S24" s="15">
        <v>-9.4825237426023508E-3</v>
      </c>
      <c r="T24" s="15">
        <v>33.700000000000003</v>
      </c>
      <c r="U24" s="15" t="s">
        <v>127</v>
      </c>
      <c r="V24" s="15">
        <v>-9.5042953491210938</v>
      </c>
      <c r="W24" s="15">
        <v>-27.6</v>
      </c>
      <c r="X24" s="15">
        <v>34257.981791964688</v>
      </c>
      <c r="Y24" s="15">
        <v>68784.493000000002</v>
      </c>
      <c r="Z24" s="15">
        <f>_xlfn.XLOOKUP(B24,Feuil4!A:A,Feuil4!C:C)</f>
        <v>49</v>
      </c>
    </row>
    <row r="25" spans="1:26" x14ac:dyDescent="0.15">
      <c r="A25" s="4">
        <v>2022</v>
      </c>
      <c r="B25" s="4" t="s">
        <v>28</v>
      </c>
      <c r="C25" s="11">
        <v>475.14676218880697</v>
      </c>
      <c r="D25" s="11">
        <v>484.46340599730502</v>
      </c>
      <c r="E25" s="11">
        <v>471.83423007622298</v>
      </c>
      <c r="F25" s="12">
        <v>54.7</v>
      </c>
      <c r="G25" s="12">
        <v>-0.43428205957548599</v>
      </c>
      <c r="H25" s="12" t="s">
        <v>12</v>
      </c>
      <c r="I25" s="12" t="s">
        <v>12</v>
      </c>
      <c r="J25" s="12">
        <v>-0.18995203343683001</v>
      </c>
      <c r="K25" s="12">
        <v>4.8032613839115301</v>
      </c>
      <c r="L25" s="12" t="s">
        <v>12</v>
      </c>
      <c r="M25" s="12" t="s">
        <v>12</v>
      </c>
      <c r="N25" s="12">
        <v>100.274335726201</v>
      </c>
      <c r="O25" s="12">
        <v>11.686657309054601</v>
      </c>
      <c r="P25" s="13">
        <v>0.92</v>
      </c>
      <c r="Q25" s="12">
        <v>-2.34241872276191E-2</v>
      </c>
      <c r="R25" s="12" t="s">
        <v>12</v>
      </c>
      <c r="S25" s="12">
        <v>5.22950665852688E-2</v>
      </c>
      <c r="T25" s="12">
        <v>36.6</v>
      </c>
      <c r="U25" s="12" t="s">
        <v>127</v>
      </c>
      <c r="V25" s="12">
        <v>-5.1497511863708496</v>
      </c>
      <c r="W25" s="12">
        <v>-30.8</v>
      </c>
      <c r="X25" s="12">
        <v>43184.994060046622</v>
      </c>
      <c r="Y25" s="12">
        <v>72114.251000000004</v>
      </c>
      <c r="Z25" s="12">
        <f>_xlfn.XLOOKUP(B25,Feuil4!A:A,Feuil4!C:C)</f>
        <v>38</v>
      </c>
    </row>
    <row r="26" spans="1:26" x14ac:dyDescent="0.15">
      <c r="A26" s="4">
        <v>2022</v>
      </c>
      <c r="B26" s="5" t="s">
        <v>29</v>
      </c>
      <c r="C26" s="14"/>
      <c r="D26" s="14"/>
      <c r="E26" s="14"/>
      <c r="F26" s="15"/>
      <c r="G26" s="15"/>
      <c r="H26" s="15"/>
      <c r="I26" s="15"/>
      <c r="J26" s="15"/>
      <c r="K26" s="15"/>
      <c r="L26" s="15"/>
      <c r="M26" s="15"/>
      <c r="N26" s="15"/>
      <c r="O26" s="15"/>
      <c r="P26" s="10"/>
      <c r="Q26" s="15"/>
      <c r="R26" s="15"/>
      <c r="S26" s="15"/>
      <c r="T26" s="15"/>
      <c r="U26" s="15"/>
      <c r="V26" s="15"/>
      <c r="W26" s="15"/>
      <c r="X26" s="15"/>
      <c r="Y26" s="15"/>
      <c r="Z26" s="15">
        <f>_xlfn.XLOOKUP(B26,Feuil4!A:A,Feuil4!C:C)</f>
        <v>15</v>
      </c>
    </row>
    <row r="27" spans="1:26" x14ac:dyDescent="0.15">
      <c r="A27" s="4">
        <v>2022</v>
      </c>
      <c r="B27" s="4" t="s">
        <v>30</v>
      </c>
      <c r="C27" s="11">
        <v>395.02991914664301</v>
      </c>
      <c r="D27" s="11">
        <v>409.886598247444</v>
      </c>
      <c r="E27" s="11">
        <v>415.35896204424199</v>
      </c>
      <c r="F27" s="12">
        <v>42.558595335075097</v>
      </c>
      <c r="G27" s="12">
        <v>-0.43966064379548497</v>
      </c>
      <c r="H27" s="12" t="s">
        <v>12</v>
      </c>
      <c r="I27" s="12" t="s">
        <v>12</v>
      </c>
      <c r="J27" s="12">
        <v>0.44158923783137</v>
      </c>
      <c r="K27" s="12">
        <v>4.0762894193450103</v>
      </c>
      <c r="L27" s="12" t="s">
        <v>12</v>
      </c>
      <c r="M27" s="12" t="s">
        <v>12</v>
      </c>
      <c r="N27" s="12">
        <v>394.95156508158198</v>
      </c>
      <c r="O27" s="12">
        <v>31.5906661582871</v>
      </c>
      <c r="P27" s="13">
        <v>0.33</v>
      </c>
      <c r="Q27" s="12">
        <v>-0.183213206911221</v>
      </c>
      <c r="R27" s="12" t="s">
        <v>12</v>
      </c>
      <c r="S27" s="12">
        <v>-0.95243732516727297</v>
      </c>
      <c r="T27" s="12">
        <v>43.5</v>
      </c>
      <c r="U27" s="12" t="s">
        <v>128</v>
      </c>
      <c r="V27" s="12">
        <v>-12.100664138793951</v>
      </c>
      <c r="W27" s="12">
        <v>-7.8</v>
      </c>
      <c r="X27" s="12">
        <v>19584.671719372316</v>
      </c>
      <c r="Y27" s="12">
        <v>28903.027000000002</v>
      </c>
      <c r="Z27" s="12">
        <f>_xlfn.XLOOKUP(B27,Feuil4!A:A,Feuil4!C:C)</f>
        <v>71</v>
      </c>
    </row>
    <row r="28" spans="1:26" x14ac:dyDescent="0.15">
      <c r="A28" s="5">
        <v>2022</v>
      </c>
      <c r="B28" s="5" t="s">
        <v>31</v>
      </c>
      <c r="C28" s="14">
        <v>492.67563898942302</v>
      </c>
      <c r="D28" s="14">
        <v>488.31683605418402</v>
      </c>
      <c r="E28" s="14">
        <v>459.24290800804999</v>
      </c>
      <c r="F28" s="15">
        <v>56.238312710181198</v>
      </c>
      <c r="G28" s="15">
        <v>-0.49713964600914801</v>
      </c>
      <c r="H28" s="15">
        <v>0.120860706830965</v>
      </c>
      <c r="I28" s="15" t="s">
        <v>12</v>
      </c>
      <c r="J28" s="15">
        <v>-0.36355178648025099</v>
      </c>
      <c r="K28" s="15">
        <v>3.3344697240324499</v>
      </c>
      <c r="L28" s="15" t="s">
        <v>12</v>
      </c>
      <c r="M28" s="15" t="s">
        <v>12</v>
      </c>
      <c r="N28" s="15">
        <v>218</v>
      </c>
      <c r="O28" s="15">
        <v>17</v>
      </c>
      <c r="P28" s="10">
        <v>0.82</v>
      </c>
      <c r="Q28" s="15">
        <v>0.10237876093010299</v>
      </c>
      <c r="R28" s="15" t="s">
        <v>12</v>
      </c>
      <c r="S28" s="15">
        <v>0.25346078219023999</v>
      </c>
      <c r="T28" s="15">
        <v>0</v>
      </c>
      <c r="U28" s="15" t="s">
        <v>127</v>
      </c>
      <c r="V28" s="15">
        <v>-10.64958572387695</v>
      </c>
      <c r="W28" s="15">
        <v>-25.9</v>
      </c>
      <c r="X28" s="15">
        <v>63741.704454882936</v>
      </c>
      <c r="Y28" s="15">
        <v>119584.16</v>
      </c>
      <c r="Z28" s="15">
        <f>_xlfn.XLOOKUP(B28,Feuil4!A:A,Feuil4!C:C)</f>
        <v>31</v>
      </c>
    </row>
    <row r="29" spans="1:26" x14ac:dyDescent="0.15">
      <c r="A29" s="4">
        <v>2022</v>
      </c>
      <c r="B29" s="4" t="s">
        <v>32</v>
      </c>
      <c r="C29" s="11">
        <v>479.07419338779698</v>
      </c>
      <c r="D29" s="11">
        <v>504.12930481758099</v>
      </c>
      <c r="E29" s="11">
        <v>500.85301088740101</v>
      </c>
      <c r="F29" s="12">
        <v>58.007255189024903</v>
      </c>
      <c r="G29" s="12">
        <v>5.4577280249479198E-3</v>
      </c>
      <c r="H29" s="12" t="s">
        <v>12</v>
      </c>
      <c r="I29" s="12" t="s">
        <v>12</v>
      </c>
      <c r="J29" s="12">
        <v>8.2404014711555104E-2</v>
      </c>
      <c r="K29" s="12">
        <v>4.2760902698255503</v>
      </c>
      <c r="L29" s="12" t="s">
        <v>12</v>
      </c>
      <c r="M29" s="12" t="s">
        <v>12</v>
      </c>
      <c r="N29" s="12" t="s">
        <v>12</v>
      </c>
      <c r="O29" s="12">
        <v>15</v>
      </c>
      <c r="P29" s="13">
        <v>0.84</v>
      </c>
      <c r="Q29" s="12">
        <v>-0.28784463039482699</v>
      </c>
      <c r="R29" s="12" t="s">
        <v>12</v>
      </c>
      <c r="S29" s="12">
        <v>0.219063599870888</v>
      </c>
      <c r="T29" s="12">
        <v>0</v>
      </c>
      <c r="U29" s="12" t="s">
        <v>130</v>
      </c>
      <c r="V29" s="12">
        <v>-10.37150287628174</v>
      </c>
      <c r="W29" s="12">
        <v>-25.9</v>
      </c>
      <c r="X29" s="12">
        <v>46990.180115357849</v>
      </c>
      <c r="Y29" s="12">
        <v>82261.005000000005</v>
      </c>
      <c r="Z29" s="12">
        <f>_xlfn.XLOOKUP(B29,Feuil4!A:A,Feuil4!C:C)</f>
        <v>24</v>
      </c>
    </row>
    <row r="30" spans="1:26" x14ac:dyDescent="0.15">
      <c r="A30" s="5">
        <v>2022</v>
      </c>
      <c r="B30" s="5" t="s">
        <v>33</v>
      </c>
      <c r="C30" s="14">
        <v>468.44994986357699</v>
      </c>
      <c r="D30" s="14">
        <v>478.226464845544</v>
      </c>
      <c r="E30" s="14">
        <v>476.52387797394402</v>
      </c>
      <c r="F30" s="15">
        <v>62.286994493112203</v>
      </c>
      <c r="G30" s="15">
        <v>-0.28237695997548701</v>
      </c>
      <c r="H30" s="15">
        <v>0.17</v>
      </c>
      <c r="I30" s="15" t="s">
        <v>12</v>
      </c>
      <c r="J30" s="15">
        <v>-0.169663397770102</v>
      </c>
      <c r="K30" s="15">
        <v>4.30809613055174</v>
      </c>
      <c r="L30" s="15" t="s">
        <v>12</v>
      </c>
      <c r="M30" s="15" t="s">
        <v>12</v>
      </c>
      <c r="N30" s="15" t="s">
        <v>12</v>
      </c>
      <c r="O30" s="15" t="s">
        <v>12</v>
      </c>
      <c r="P30" s="10" t="s">
        <v>12</v>
      </c>
      <c r="Q30" s="15">
        <v>0.22577003632692999</v>
      </c>
      <c r="R30" s="15" t="s">
        <v>12</v>
      </c>
      <c r="S30" s="15">
        <v>0.52149711444767299</v>
      </c>
      <c r="T30" s="15">
        <v>26.9</v>
      </c>
      <c r="U30" s="15" t="s">
        <v>127</v>
      </c>
      <c r="V30" s="15">
        <v>0.65984660387039185</v>
      </c>
      <c r="W30" s="15">
        <v>-41.7</v>
      </c>
      <c r="X30" s="15">
        <v>80534.610693381677</v>
      </c>
      <c r="Y30" s="15">
        <v>153335.4</v>
      </c>
      <c r="Z30" s="15">
        <f>_xlfn.XLOOKUP(B30,Feuil4!A:A,Feuil4!C:C)</f>
        <v>29</v>
      </c>
    </row>
    <row r="31" spans="1:26" x14ac:dyDescent="0.15">
      <c r="A31" s="4">
        <v>2022</v>
      </c>
      <c r="B31" s="4" t="s">
        <v>34</v>
      </c>
      <c r="C31" s="11">
        <v>488.96005358907399</v>
      </c>
      <c r="D31" s="11">
        <v>499.16436195679103</v>
      </c>
      <c r="E31" s="11">
        <v>488.71362897567002</v>
      </c>
      <c r="F31" s="12">
        <v>52.034069969783801</v>
      </c>
      <c r="G31" s="12">
        <v>-0.35296353095870298</v>
      </c>
      <c r="H31" s="12">
        <v>0.15479597412384399</v>
      </c>
      <c r="I31" s="12" t="s">
        <v>12</v>
      </c>
      <c r="J31" s="12">
        <v>-0.6856662357412</v>
      </c>
      <c r="K31" s="12">
        <v>3.8103623352126501</v>
      </c>
      <c r="L31" s="12" t="s">
        <v>12</v>
      </c>
      <c r="M31" s="12" t="s">
        <v>12</v>
      </c>
      <c r="N31" s="12">
        <v>144.350075991642</v>
      </c>
      <c r="O31" s="12">
        <v>10.371461313773899</v>
      </c>
      <c r="P31" s="13">
        <v>0.88</v>
      </c>
      <c r="Q31" s="12">
        <v>-0.31210981528440201</v>
      </c>
      <c r="R31" s="12" t="s">
        <v>12</v>
      </c>
      <c r="S31" s="12">
        <v>-0.105140686411218</v>
      </c>
      <c r="T31" s="12">
        <v>28.9</v>
      </c>
      <c r="U31" s="12" t="s">
        <v>127</v>
      </c>
      <c r="V31" s="12">
        <v>-5.5164599418640137</v>
      </c>
      <c r="W31" s="12">
        <v>-28.6</v>
      </c>
      <c r="X31" s="12">
        <v>38125.191470514459</v>
      </c>
      <c r="Y31" s="12">
        <v>87741.195999999996</v>
      </c>
      <c r="Z31" s="12">
        <f>_xlfn.XLOOKUP(B31,Feuil4!A:A,Feuil4!C:C)</f>
        <v>43</v>
      </c>
    </row>
    <row r="32" spans="1:26" x14ac:dyDescent="0.15">
      <c r="A32" s="5">
        <v>2022</v>
      </c>
      <c r="B32" s="5" t="s">
        <v>35</v>
      </c>
      <c r="C32" s="14">
        <v>471.91052213243501</v>
      </c>
      <c r="D32" s="14">
        <v>484.37346402781498</v>
      </c>
      <c r="E32" s="14">
        <v>476.58861115946502</v>
      </c>
      <c r="F32" s="15">
        <v>51.018857875373001</v>
      </c>
      <c r="G32" s="15">
        <v>-0.54735400650265498</v>
      </c>
      <c r="H32" s="15">
        <v>-0.29024495095217501</v>
      </c>
      <c r="I32" s="15" t="s">
        <v>12</v>
      </c>
      <c r="J32" s="15">
        <v>0.32979577798994902</v>
      </c>
      <c r="K32" s="15">
        <v>4.0053628047240899</v>
      </c>
      <c r="L32" s="15" t="s">
        <v>12</v>
      </c>
      <c r="M32" s="15" t="s">
        <v>12</v>
      </c>
      <c r="N32" s="15">
        <v>218.365035144801</v>
      </c>
      <c r="O32" s="15">
        <v>10.4032975783991</v>
      </c>
      <c r="P32" s="10">
        <v>0.8</v>
      </c>
      <c r="Q32" s="15">
        <v>8.4369594030458794E-2</v>
      </c>
      <c r="R32" s="15">
        <v>3.3991304939115502E-4</v>
      </c>
      <c r="S32" s="15">
        <v>-0.226355259918322</v>
      </c>
      <c r="T32" s="15">
        <v>36.299999999999997</v>
      </c>
      <c r="U32" s="15" t="s">
        <v>127</v>
      </c>
      <c r="V32" s="15">
        <v>-10.649422645568849</v>
      </c>
      <c r="W32" s="15">
        <v>-20.9</v>
      </c>
      <c r="X32" s="15">
        <v>36037.957784434271</v>
      </c>
      <c r="Y32" s="15">
        <v>98982.971999999994</v>
      </c>
      <c r="Z32" s="15">
        <f>_xlfn.XLOOKUP(B32,Feuil4!A:A,Feuil4!C:C)</f>
        <v>24</v>
      </c>
    </row>
    <row r="33" spans="1:26" x14ac:dyDescent="0.15">
      <c r="A33" s="4">
        <v>2022</v>
      </c>
      <c r="B33" s="4" t="s">
        <v>36</v>
      </c>
      <c r="C33" s="11">
        <v>463.99461851406897</v>
      </c>
      <c r="D33" s="11">
        <v>462.26948309170899</v>
      </c>
      <c r="E33" s="11">
        <v>446.86060741273002</v>
      </c>
      <c r="F33" s="12">
        <v>47.569681000507202</v>
      </c>
      <c r="G33" s="12">
        <v>-0.29370872773352802</v>
      </c>
      <c r="H33" s="12" t="s">
        <v>12</v>
      </c>
      <c r="I33" s="12" t="s">
        <v>12</v>
      </c>
      <c r="J33" s="12">
        <v>-0.20992051324147001</v>
      </c>
      <c r="K33" s="12">
        <v>4.7756185389081196</v>
      </c>
      <c r="L33" s="12" t="s">
        <v>12</v>
      </c>
      <c r="M33" s="12" t="s">
        <v>12</v>
      </c>
      <c r="N33" s="12">
        <v>79.566723932180395</v>
      </c>
      <c r="O33" s="12">
        <v>12.556962200757001</v>
      </c>
      <c r="P33" s="13">
        <v>0.75</v>
      </c>
      <c r="Q33" s="12">
        <v>-0.20072176601361999</v>
      </c>
      <c r="R33" s="12" t="s">
        <v>12</v>
      </c>
      <c r="S33" s="12">
        <v>-0.30299666556108201</v>
      </c>
      <c r="T33" s="12" t="s">
        <v>125</v>
      </c>
      <c r="U33" s="12" t="s">
        <v>127</v>
      </c>
      <c r="V33" s="12">
        <v>-1.3687562942504881</v>
      </c>
      <c r="W33" s="12">
        <v>-29.6</v>
      </c>
      <c r="X33" s="12">
        <v>33418.521834407547</v>
      </c>
      <c r="Y33" s="12">
        <v>75299.805999999997</v>
      </c>
      <c r="Z33" s="12">
        <f>_xlfn.XLOOKUP(B33,Feuil4!A:A,Feuil4!C:C)</f>
        <v>38</v>
      </c>
    </row>
    <row r="34" spans="1:26" x14ac:dyDescent="0.15">
      <c r="A34" s="5">
        <v>2022</v>
      </c>
      <c r="B34" s="5" t="s">
        <v>37</v>
      </c>
      <c r="C34" s="14">
        <v>484.52900869557101</v>
      </c>
      <c r="D34" s="14">
        <v>499.96488259917601</v>
      </c>
      <c r="E34" s="14">
        <v>468.536012818328</v>
      </c>
      <c r="F34" s="15">
        <v>57.661959040732</v>
      </c>
      <c r="G34" s="15">
        <v>-0.42900457958579602</v>
      </c>
      <c r="H34" s="15" t="s">
        <v>12</v>
      </c>
      <c r="I34" s="15" t="s">
        <v>12</v>
      </c>
      <c r="J34" s="15">
        <v>-0.41471932464012201</v>
      </c>
      <c r="K34" s="15">
        <v>4.0456451573249099</v>
      </c>
      <c r="L34" s="15" t="s">
        <v>12</v>
      </c>
      <c r="M34" s="15" t="s">
        <v>12</v>
      </c>
      <c r="N34" s="15">
        <v>149.91696629272201</v>
      </c>
      <c r="O34" s="15">
        <v>10.664504125689501</v>
      </c>
      <c r="P34" s="10">
        <v>0.86</v>
      </c>
      <c r="Q34" s="15">
        <v>3.8575906094158799E-2</v>
      </c>
      <c r="R34" s="15" t="s">
        <v>12</v>
      </c>
      <c r="S34" s="15">
        <v>0.225808263077452</v>
      </c>
      <c r="T34" s="15">
        <v>24.3</v>
      </c>
      <c r="U34" s="15" t="s">
        <v>127</v>
      </c>
      <c r="V34" s="15">
        <v>1.7013248205184941</v>
      </c>
      <c r="W34" s="15">
        <v>-43.7</v>
      </c>
      <c r="X34" s="15">
        <v>43804.816270256124</v>
      </c>
      <c r="Y34" s="15">
        <v>102335.925</v>
      </c>
      <c r="Z34" s="15">
        <f>_xlfn.XLOOKUP(B34,Feuil4!A:A,Feuil4!C:C)</f>
        <v>47</v>
      </c>
    </row>
    <row r="35" spans="1:26" x14ac:dyDescent="0.15">
      <c r="A35" s="4">
        <v>2022</v>
      </c>
      <c r="B35" s="4" t="s">
        <v>38</v>
      </c>
      <c r="C35" s="11">
        <v>473.14020809294499</v>
      </c>
      <c r="D35" s="11">
        <v>484.53364839868601</v>
      </c>
      <c r="E35" s="11">
        <v>474.30711244891199</v>
      </c>
      <c r="F35" s="12">
        <v>51.033223361263303</v>
      </c>
      <c r="G35" s="12">
        <v>-0.37901147314804501</v>
      </c>
      <c r="H35" s="12">
        <v>-0.18675319333007701</v>
      </c>
      <c r="I35" s="12" t="s">
        <v>12</v>
      </c>
      <c r="J35" s="12">
        <v>6.1526505045296401E-2</v>
      </c>
      <c r="K35" s="12">
        <v>4.2212221780922397</v>
      </c>
      <c r="L35" s="12" t="s">
        <v>12</v>
      </c>
      <c r="M35" s="12" t="s">
        <v>12</v>
      </c>
      <c r="N35" s="12">
        <v>91.038372013385597</v>
      </c>
      <c r="O35" s="12">
        <v>11.5824140584409</v>
      </c>
      <c r="P35" s="13">
        <v>0.87</v>
      </c>
      <c r="Q35" s="12">
        <v>0.272534564022751</v>
      </c>
      <c r="R35" s="12" t="s">
        <v>12</v>
      </c>
      <c r="S35" s="12">
        <v>-3.3199497248014603E-2</v>
      </c>
      <c r="T35" s="12">
        <v>33.6</v>
      </c>
      <c r="U35" s="12" t="s">
        <v>127</v>
      </c>
      <c r="V35" s="12">
        <v>-10.14812660217285</v>
      </c>
      <c r="W35" s="12">
        <v>-25.3</v>
      </c>
      <c r="X35" s="12">
        <v>40591.75931734981</v>
      </c>
      <c r="Y35" s="12">
        <v>93094.233999999997</v>
      </c>
      <c r="Z35" s="12">
        <f>_xlfn.XLOOKUP(B35,Feuil4!A:A,Feuil4!C:C)</f>
        <v>15</v>
      </c>
    </row>
    <row r="36" spans="1:26" x14ac:dyDescent="0.15">
      <c r="A36" s="5">
        <v>2022</v>
      </c>
      <c r="B36" s="5" t="s">
        <v>39</v>
      </c>
      <c r="C36" s="14">
        <v>481.76606543002703</v>
      </c>
      <c r="D36" s="14">
        <v>493.54931913375202</v>
      </c>
      <c r="E36" s="14">
        <v>486.97515580614299</v>
      </c>
      <c r="F36" s="15">
        <v>59.230088364809703</v>
      </c>
      <c r="G36" s="15">
        <v>-0.26768245261281898</v>
      </c>
      <c r="H36" s="15" t="s">
        <v>12</v>
      </c>
      <c r="I36" s="15" t="s">
        <v>12</v>
      </c>
      <c r="J36" s="15">
        <v>0.18966554337452199</v>
      </c>
      <c r="K36" s="15">
        <v>4.3408893991424096</v>
      </c>
      <c r="L36" s="15" t="s">
        <v>12</v>
      </c>
      <c r="M36" s="15" t="s">
        <v>12</v>
      </c>
      <c r="N36" s="15" t="s">
        <v>12</v>
      </c>
      <c r="O36" s="15">
        <v>12</v>
      </c>
      <c r="P36" s="10">
        <v>0.81</v>
      </c>
      <c r="Q36" s="15">
        <v>8.8342877875343798E-2</v>
      </c>
      <c r="R36" s="15" t="s">
        <v>12</v>
      </c>
      <c r="S36" s="15">
        <v>0.32659102043782701</v>
      </c>
      <c r="T36" s="15">
        <v>31.6</v>
      </c>
      <c r="U36" s="15" t="s">
        <v>127</v>
      </c>
      <c r="V36" s="15">
        <v>-2.1699213981628418</v>
      </c>
      <c r="W36" s="15">
        <v>-36.700000000000003</v>
      </c>
      <c r="X36" s="15">
        <v>59222.633648202114</v>
      </c>
      <c r="Y36" s="15">
        <v>133024.97</v>
      </c>
      <c r="Z36" s="15">
        <f>_xlfn.XLOOKUP(B36,Feuil4!A:A,Feuil4!C:C)</f>
        <v>24</v>
      </c>
    </row>
    <row r="37" spans="1:26" x14ac:dyDescent="0.15">
      <c r="A37" s="4">
        <v>2022</v>
      </c>
      <c r="B37" s="4" t="s">
        <v>40</v>
      </c>
      <c r="C37" s="11">
        <v>507.99058624683801</v>
      </c>
      <c r="D37" s="11">
        <v>502.52324153909802</v>
      </c>
      <c r="E37" s="11">
        <v>483.331733841465</v>
      </c>
      <c r="F37" s="12">
        <v>54.882829399558098</v>
      </c>
      <c r="G37" s="12">
        <v>-0.26478093626808302</v>
      </c>
      <c r="H37" s="12" t="s">
        <v>12</v>
      </c>
      <c r="I37" s="12" t="s">
        <v>12</v>
      </c>
      <c r="J37" s="12">
        <v>-0.13</v>
      </c>
      <c r="K37" s="12">
        <v>4.5518765427239103</v>
      </c>
      <c r="L37" s="12" t="s">
        <v>12</v>
      </c>
      <c r="M37" s="12" t="s">
        <v>12</v>
      </c>
      <c r="N37" s="12">
        <v>162</v>
      </c>
      <c r="O37" s="12">
        <v>12</v>
      </c>
      <c r="P37" s="13">
        <v>0.82</v>
      </c>
      <c r="Q37" s="12">
        <v>0.35725156988043499</v>
      </c>
      <c r="R37" s="12" t="s">
        <v>12</v>
      </c>
      <c r="S37" s="12">
        <v>0.16916674373572499</v>
      </c>
      <c r="T37" s="12">
        <v>33.799999999999997</v>
      </c>
      <c r="U37" s="12" t="s">
        <v>127</v>
      </c>
      <c r="V37" s="12">
        <v>-10.881313323974609</v>
      </c>
      <c r="W37" s="12">
        <v>-23.8</v>
      </c>
      <c r="X37" s="12">
        <v>77120.555350817915</v>
      </c>
      <c r="Y37" s="12"/>
      <c r="Z37" s="12">
        <f>_xlfn.XLOOKUP(B37,Feuil4!A:A,Feuil4!C:C)</f>
        <v>6</v>
      </c>
    </row>
    <row r="38" spans="1:26" x14ac:dyDescent="0.15">
      <c r="A38" s="5">
        <v>2022</v>
      </c>
      <c r="B38" s="5" t="s">
        <v>41</v>
      </c>
      <c r="C38" s="14">
        <v>453.15176726255601</v>
      </c>
      <c r="D38" s="14">
        <v>475.937802055769</v>
      </c>
      <c r="E38" s="14">
        <v>456.08404067810699</v>
      </c>
      <c r="F38" s="15">
        <v>38.339120135393401</v>
      </c>
      <c r="G38" s="15">
        <v>-0.202325216460955</v>
      </c>
      <c r="H38" s="15" t="s">
        <v>12</v>
      </c>
      <c r="I38" s="15" t="s">
        <v>12</v>
      </c>
      <c r="J38" s="15">
        <v>-0.24034949665415101</v>
      </c>
      <c r="K38" s="15">
        <v>5.63518500625824</v>
      </c>
      <c r="L38" s="15" t="s">
        <v>12</v>
      </c>
      <c r="M38" s="15" t="s">
        <v>12</v>
      </c>
      <c r="N38" s="15">
        <v>236.722285783453</v>
      </c>
      <c r="O38" s="15">
        <v>14.1021762089799</v>
      </c>
      <c r="P38" s="10">
        <v>0.86</v>
      </c>
      <c r="Q38" s="15">
        <v>-0.30048130703882397</v>
      </c>
      <c r="R38" s="15" t="s">
        <v>12</v>
      </c>
      <c r="S38" s="15">
        <v>-1.1854430482154501</v>
      </c>
      <c r="T38" s="15">
        <v>44.5</v>
      </c>
      <c r="U38" s="15" t="s">
        <v>132</v>
      </c>
      <c r="V38" s="15">
        <v>-5.7430505752563477</v>
      </c>
      <c r="W38" s="15">
        <v>-24.8</v>
      </c>
      <c r="X38" s="15">
        <v>30444.387708474656</v>
      </c>
      <c r="Y38" s="15">
        <v>46708.92</v>
      </c>
      <c r="Z38" s="15">
        <f>_xlfn.XLOOKUP(B38,Feuil4!A:A,Feuil4!C:C)</f>
        <v>49</v>
      </c>
    </row>
    <row r="39" spans="1:26" x14ac:dyDescent="0.15">
      <c r="A39" s="4">
        <v>2022</v>
      </c>
      <c r="B39" s="4" t="s">
        <v>42</v>
      </c>
      <c r="C39" s="11">
        <v>488.97508504425099</v>
      </c>
      <c r="D39" s="11">
        <v>499.67021390132697</v>
      </c>
      <c r="E39" s="11">
        <v>494.40462610659199</v>
      </c>
      <c r="F39" s="12">
        <v>56.6</v>
      </c>
      <c r="G39" s="12">
        <v>0</v>
      </c>
      <c r="H39" s="12" t="s">
        <v>12</v>
      </c>
      <c r="I39" s="12" t="s">
        <v>12</v>
      </c>
      <c r="J39" s="12">
        <v>0.26</v>
      </c>
      <c r="K39" s="12">
        <v>5</v>
      </c>
      <c r="L39" s="12" t="s">
        <v>12</v>
      </c>
      <c r="M39" s="12" t="s">
        <v>12</v>
      </c>
      <c r="N39" s="12">
        <v>192</v>
      </c>
      <c r="O39" s="12">
        <v>16</v>
      </c>
      <c r="P39" s="13">
        <v>0.94</v>
      </c>
      <c r="Q39" s="12">
        <v>-0.21</v>
      </c>
      <c r="R39" s="12" t="s">
        <v>12</v>
      </c>
      <c r="S39" s="12">
        <v>0.14000000000000001</v>
      </c>
      <c r="T39" s="12">
        <v>0</v>
      </c>
      <c r="U39" s="12" t="s">
        <v>127</v>
      </c>
      <c r="V39" s="12">
        <v>-14.36984157562256</v>
      </c>
      <c r="W39" s="12">
        <v>-16.5</v>
      </c>
      <c r="X39" s="12">
        <v>50809.569296403533</v>
      </c>
      <c r="Y39" s="12">
        <v>123983.36</v>
      </c>
      <c r="Z39" s="12">
        <f>_xlfn.XLOOKUP(B39,Feuil4!A:A,Feuil4!C:C)</f>
        <v>27</v>
      </c>
    </row>
    <row r="40" spans="1:26" x14ac:dyDescent="0.15">
      <c r="A40" s="5">
        <v>2022</v>
      </c>
      <c r="B40" s="5" t="s">
        <v>43</v>
      </c>
      <c r="C40" s="14">
        <v>464.88804296317699</v>
      </c>
      <c r="D40" s="14">
        <v>499.41406386577802</v>
      </c>
      <c r="E40" s="14">
        <v>503.93757347399901</v>
      </c>
      <c r="F40" s="15">
        <v>55.072900733762197</v>
      </c>
      <c r="G40" s="15">
        <v>-0.29922504549693402</v>
      </c>
      <c r="H40" s="15">
        <v>6.8709947754207995E-2</v>
      </c>
      <c r="I40" s="15" t="s">
        <v>12</v>
      </c>
      <c r="J40" s="15">
        <v>0.25335469446404801</v>
      </c>
      <c r="K40" s="15">
        <v>3.6350664144739699</v>
      </c>
      <c r="L40" s="15" t="s">
        <v>12</v>
      </c>
      <c r="M40" s="15" t="s">
        <v>12</v>
      </c>
      <c r="N40" s="15">
        <v>371</v>
      </c>
      <c r="O40" s="15">
        <v>16</v>
      </c>
      <c r="P40" s="10">
        <v>0.9</v>
      </c>
      <c r="Q40" s="15">
        <v>-0.26195708690722003</v>
      </c>
      <c r="R40" s="15" t="s">
        <v>12</v>
      </c>
      <c r="S40" s="15">
        <v>5.6162867360860201E-2</v>
      </c>
      <c r="T40" s="15">
        <v>41.7</v>
      </c>
      <c r="U40" s="15" t="s">
        <v>128</v>
      </c>
      <c r="V40" s="15"/>
      <c r="W40" s="15"/>
      <c r="X40" s="15"/>
      <c r="Y40" s="15"/>
      <c r="Z40" s="15"/>
    </row>
    <row r="41" spans="1:26" x14ac:dyDescent="0.15">
      <c r="A41" s="4">
        <v>2018</v>
      </c>
      <c r="B41" s="4" t="s">
        <v>4</v>
      </c>
      <c r="C41" s="11">
        <v>486.99832203764601</v>
      </c>
      <c r="D41" s="11">
        <v>486.74027430638699</v>
      </c>
      <c r="E41" s="11">
        <v>485.48740625811502</v>
      </c>
      <c r="F41" s="12">
        <v>52.040819274654602</v>
      </c>
      <c r="G41" s="12">
        <v>4.1961023072096797E-3</v>
      </c>
      <c r="H41" s="12" t="s">
        <v>12</v>
      </c>
      <c r="I41" s="12">
        <v>3.01804340871515E-2</v>
      </c>
      <c r="J41" s="12" t="s">
        <v>12</v>
      </c>
      <c r="K41" s="12">
        <v>4.26917466571674</v>
      </c>
      <c r="L41" s="12">
        <v>4.0234954311365199</v>
      </c>
      <c r="M41" s="12">
        <v>4.2066354612645096</v>
      </c>
      <c r="N41" s="12">
        <v>157.40845229019601</v>
      </c>
      <c r="O41" s="12">
        <v>13.344505309555499</v>
      </c>
      <c r="P41" s="13">
        <v>0.82</v>
      </c>
      <c r="Q41" s="12">
        <v>1.2954208933595699E-4</v>
      </c>
      <c r="R41" s="12" t="s">
        <v>12</v>
      </c>
      <c r="S41" s="12" t="s">
        <v>12</v>
      </c>
      <c r="T41" s="12" t="s">
        <v>125</v>
      </c>
      <c r="U41" s="12" t="s">
        <v>125</v>
      </c>
      <c r="V41" s="12"/>
      <c r="W41" s="12"/>
      <c r="X41" s="12"/>
      <c r="Y41" s="12"/>
      <c r="Z41" s="12"/>
    </row>
    <row r="42" spans="1:26" x14ac:dyDescent="0.15">
      <c r="A42" s="5">
        <v>2018</v>
      </c>
      <c r="B42" s="5" t="s">
        <v>5</v>
      </c>
      <c r="C42" s="14">
        <v>491.36002524732402</v>
      </c>
      <c r="D42" s="14">
        <v>502.96456281136602</v>
      </c>
      <c r="E42" s="14">
        <v>502.63172429646698</v>
      </c>
      <c r="F42" s="15">
        <v>55.838370313279</v>
      </c>
      <c r="G42" s="15">
        <v>0.33</v>
      </c>
      <c r="H42" s="15" t="s">
        <v>12</v>
      </c>
      <c r="I42" s="15" t="s">
        <v>12</v>
      </c>
      <c r="J42" s="15" t="s">
        <v>12</v>
      </c>
      <c r="K42" s="15">
        <v>4.2863004080792404</v>
      </c>
      <c r="L42" s="15">
        <v>3.79491727419573</v>
      </c>
      <c r="M42" s="15">
        <v>4.2319116975542501</v>
      </c>
      <c r="N42" s="15">
        <v>170.379979236308</v>
      </c>
      <c r="O42" s="15">
        <v>13</v>
      </c>
      <c r="P42" s="10">
        <v>0.94</v>
      </c>
      <c r="Q42" s="15">
        <v>-0.19</v>
      </c>
      <c r="R42" s="15" t="s">
        <v>12</v>
      </c>
      <c r="S42" s="15" t="s">
        <v>12</v>
      </c>
      <c r="T42" s="15">
        <v>34.299999999999997</v>
      </c>
      <c r="U42" s="15" t="s">
        <v>130</v>
      </c>
      <c r="V42" s="15"/>
      <c r="W42" s="15"/>
      <c r="X42" s="15"/>
      <c r="Y42" s="15"/>
      <c r="Z42" s="15"/>
    </row>
    <row r="43" spans="1:26" x14ac:dyDescent="0.15">
      <c r="A43" s="4">
        <v>2018</v>
      </c>
      <c r="B43" s="4" t="s">
        <v>6</v>
      </c>
      <c r="C43" s="11">
        <v>498.94231377018502</v>
      </c>
      <c r="D43" s="11">
        <v>489.78043922683503</v>
      </c>
      <c r="E43" s="11">
        <v>484.39256846788697</v>
      </c>
      <c r="F43" s="12">
        <v>50.816090118803999</v>
      </c>
      <c r="G43" s="12">
        <v>-0.02</v>
      </c>
      <c r="H43" s="12" t="s">
        <v>12</v>
      </c>
      <c r="I43" s="12" t="s">
        <v>12</v>
      </c>
      <c r="J43" s="12" t="s">
        <v>12</v>
      </c>
      <c r="K43" s="12">
        <v>3.0012034736222999</v>
      </c>
      <c r="L43" s="12">
        <v>4.0999999999999996</v>
      </c>
      <c r="M43" s="12">
        <v>3.10944633116108</v>
      </c>
      <c r="N43" s="12">
        <v>120.409299609455</v>
      </c>
      <c r="O43" s="12">
        <v>10.896817907220999</v>
      </c>
      <c r="P43" s="13">
        <v>0.85</v>
      </c>
      <c r="Q43" s="12">
        <v>0.39768398064012001</v>
      </c>
      <c r="R43" s="12" t="s">
        <v>12</v>
      </c>
      <c r="S43" s="12" t="s">
        <v>12</v>
      </c>
      <c r="T43" s="12">
        <v>30.8</v>
      </c>
      <c r="U43" s="12" t="s">
        <v>127</v>
      </c>
      <c r="V43" s="12"/>
      <c r="W43" s="12"/>
      <c r="X43" s="12"/>
      <c r="Y43" s="12"/>
      <c r="Z43" s="12"/>
    </row>
    <row r="44" spans="1:26" x14ac:dyDescent="0.15">
      <c r="A44" s="5">
        <v>2018</v>
      </c>
      <c r="B44" s="5" t="s">
        <v>7</v>
      </c>
      <c r="C44" s="14">
        <v>508.07030630262301</v>
      </c>
      <c r="D44" s="14">
        <v>498.77312702853197</v>
      </c>
      <c r="E44" s="14">
        <v>492.86443865136602</v>
      </c>
      <c r="F44" s="15">
        <v>52.423091428125304</v>
      </c>
      <c r="G44" s="15">
        <v>-0.11</v>
      </c>
      <c r="H44" s="15" t="s">
        <v>12</v>
      </c>
      <c r="I44" s="15"/>
      <c r="J44" s="15" t="s">
        <v>12</v>
      </c>
      <c r="K44" s="15">
        <v>4.1603331487548401</v>
      </c>
      <c r="L44" s="15">
        <v>3.6630950118941001</v>
      </c>
      <c r="M44" s="15">
        <v>4.2616487318968703</v>
      </c>
      <c r="N44" s="15">
        <v>136.67411018063399</v>
      </c>
      <c r="O44" s="15">
        <v>9</v>
      </c>
      <c r="P44" s="10">
        <v>0.84</v>
      </c>
      <c r="Q44" s="15">
        <v>6.0039668467452102E-2</v>
      </c>
      <c r="R44" s="15" t="s">
        <v>12</v>
      </c>
      <c r="S44" s="15" t="s">
        <v>12</v>
      </c>
      <c r="T44" s="15">
        <v>27.2</v>
      </c>
      <c r="U44" s="15" t="s">
        <v>127</v>
      </c>
      <c r="V44" s="15"/>
      <c r="W44" s="15"/>
      <c r="X44" s="15"/>
      <c r="Y44" s="15"/>
      <c r="Z44" s="15"/>
    </row>
    <row r="45" spans="1:26" x14ac:dyDescent="0.15">
      <c r="A45" s="4">
        <v>2018</v>
      </c>
      <c r="B45" s="4" t="s">
        <v>8</v>
      </c>
      <c r="C45" s="11">
        <v>512.01694292684499</v>
      </c>
      <c r="D45" s="11">
        <v>517.99766085055001</v>
      </c>
      <c r="E45" s="11">
        <v>520.08552094974402</v>
      </c>
      <c r="F45" s="12">
        <v>57.525021777615699</v>
      </c>
      <c r="G45" s="12">
        <v>0.14000000000000001</v>
      </c>
      <c r="H45" s="12" t="s">
        <v>12</v>
      </c>
      <c r="I45" s="12" t="s">
        <v>12</v>
      </c>
      <c r="J45" s="12" t="s">
        <v>12</v>
      </c>
      <c r="K45" s="12">
        <v>4.0514912238883598</v>
      </c>
      <c r="L45" s="12">
        <v>3.9733781012084699</v>
      </c>
      <c r="M45" s="12">
        <v>4.22386892081391</v>
      </c>
      <c r="N45" s="12">
        <v>248.21595745502799</v>
      </c>
      <c r="O45" s="12" t="s">
        <v>12</v>
      </c>
      <c r="P45" s="13">
        <v>0.96</v>
      </c>
      <c r="Q45" s="12">
        <v>-0.17677131405156299</v>
      </c>
      <c r="R45" s="12" t="s">
        <v>12</v>
      </c>
      <c r="S45" s="12" t="s">
        <v>12</v>
      </c>
      <c r="T45" s="12">
        <v>32.5</v>
      </c>
      <c r="U45" s="12" t="s">
        <v>128</v>
      </c>
      <c r="V45" s="12"/>
      <c r="W45" s="12"/>
      <c r="X45" s="12"/>
      <c r="Y45" s="12"/>
      <c r="Z45" s="12"/>
    </row>
    <row r="46" spans="1:26" x14ac:dyDescent="0.15">
      <c r="A46" s="5">
        <v>2018</v>
      </c>
      <c r="B46" s="5" t="s">
        <v>9</v>
      </c>
      <c r="C46" s="14">
        <v>417.40655630857901</v>
      </c>
      <c r="D46" s="14">
        <v>443.58256338022699</v>
      </c>
      <c r="E46" s="14">
        <v>452.27255418349699</v>
      </c>
      <c r="F46" s="15">
        <v>43.940946033980701</v>
      </c>
      <c r="G46" s="15">
        <v>0</v>
      </c>
      <c r="H46" s="15" t="s">
        <v>12</v>
      </c>
      <c r="I46" s="15">
        <v>8.7111665905437105E-3</v>
      </c>
      <c r="J46" s="15" t="s">
        <v>12</v>
      </c>
      <c r="K46" s="15">
        <v>6</v>
      </c>
      <c r="L46" s="15">
        <v>5.0999999999999996</v>
      </c>
      <c r="M46" s="15">
        <v>6</v>
      </c>
      <c r="N46" s="15">
        <v>132.947136565916</v>
      </c>
      <c r="O46" s="15">
        <v>20</v>
      </c>
      <c r="P46" s="10">
        <v>0.23</v>
      </c>
      <c r="Q46" s="15">
        <v>-0.1</v>
      </c>
      <c r="R46" s="15" t="s">
        <v>12</v>
      </c>
      <c r="S46" s="15" t="s">
        <v>12</v>
      </c>
      <c r="T46" s="15">
        <v>0</v>
      </c>
      <c r="U46" s="15" t="s">
        <v>131</v>
      </c>
      <c r="V46" s="15"/>
      <c r="W46" s="15"/>
      <c r="X46" s="15"/>
      <c r="Y46" s="15"/>
      <c r="Z46" s="15"/>
    </row>
    <row r="47" spans="1:26" x14ac:dyDescent="0.15">
      <c r="A47" s="4">
        <v>2018</v>
      </c>
      <c r="B47" s="4" t="s">
        <v>10</v>
      </c>
      <c r="C47" s="11">
        <v>390.932273204875</v>
      </c>
      <c r="D47" s="11">
        <v>413.32299257050897</v>
      </c>
      <c r="E47" s="11">
        <v>412.29508499344502</v>
      </c>
      <c r="F47" s="12">
        <v>41.625793545919699</v>
      </c>
      <c r="G47" s="12">
        <v>0.18</v>
      </c>
      <c r="H47" s="12" t="s">
        <v>12</v>
      </c>
      <c r="I47" s="12" t="s">
        <v>12</v>
      </c>
      <c r="J47" s="12" t="s">
        <v>12</v>
      </c>
      <c r="K47" s="12">
        <v>4</v>
      </c>
      <c r="L47" s="12">
        <v>3.1</v>
      </c>
      <c r="M47" s="12">
        <v>3.5</v>
      </c>
      <c r="N47" s="12">
        <v>114.715639380056</v>
      </c>
      <c r="O47" s="12">
        <v>25.935432052469999</v>
      </c>
      <c r="P47" s="13">
        <v>0.37</v>
      </c>
      <c r="Q47" s="12">
        <v>-0.17950645525783199</v>
      </c>
      <c r="R47" s="12" t="s">
        <v>12</v>
      </c>
      <c r="S47" s="12" t="s">
        <v>12</v>
      </c>
      <c r="T47" s="12" t="s">
        <v>125</v>
      </c>
      <c r="U47" s="12" t="s">
        <v>131</v>
      </c>
      <c r="V47" s="12"/>
      <c r="W47" s="12"/>
      <c r="X47" s="12"/>
      <c r="Y47" s="12"/>
      <c r="Z47" s="12"/>
    </row>
    <row r="48" spans="1:26" x14ac:dyDescent="0.15">
      <c r="A48" s="5">
        <v>2018</v>
      </c>
      <c r="B48" s="5" t="s">
        <v>11</v>
      </c>
      <c r="C48" s="14">
        <v>402.33055853602298</v>
      </c>
      <c r="D48" s="14">
        <v>415.62246204059102</v>
      </c>
      <c r="E48" s="14">
        <v>426.49822500968099</v>
      </c>
      <c r="F48" s="15">
        <v>42.9604113805132</v>
      </c>
      <c r="G48" s="15">
        <v>-1.8390686952707999E-2</v>
      </c>
      <c r="H48" s="15" t="s">
        <v>12</v>
      </c>
      <c r="I48" s="15" t="s">
        <v>12</v>
      </c>
      <c r="J48" s="15" t="s">
        <v>12</v>
      </c>
      <c r="K48" s="15">
        <v>5.0055683882262096</v>
      </c>
      <c r="L48" s="15">
        <v>5.6043639091989403</v>
      </c>
      <c r="M48" s="15">
        <v>4.7234632522313396</v>
      </c>
      <c r="N48" s="15">
        <v>139.09388836394601</v>
      </c>
      <c r="O48" s="15">
        <v>15.6568770974581</v>
      </c>
      <c r="P48" s="10">
        <v>0.83</v>
      </c>
      <c r="Q48" s="15">
        <v>5.2525408526716597E-2</v>
      </c>
      <c r="R48" s="15" t="s">
        <v>12</v>
      </c>
      <c r="S48" s="15" t="s">
        <v>12</v>
      </c>
      <c r="T48" s="15" t="s">
        <v>125</v>
      </c>
      <c r="U48" s="15" t="s">
        <v>128</v>
      </c>
      <c r="V48" s="15"/>
      <c r="W48" s="15"/>
      <c r="X48" s="15"/>
      <c r="Y48" s="15"/>
      <c r="Z48" s="15"/>
    </row>
    <row r="49" spans="1:26" x14ac:dyDescent="0.15">
      <c r="A49" s="4">
        <v>2018</v>
      </c>
      <c r="B49" s="4" t="s">
        <v>13</v>
      </c>
      <c r="C49" s="11">
        <v>499.467650822959</v>
      </c>
      <c r="D49" s="11">
        <v>496.79131063200902</v>
      </c>
      <c r="E49" s="11">
        <v>490.21881483645501</v>
      </c>
      <c r="F49" s="12">
        <v>49.069037385213299</v>
      </c>
      <c r="G49" s="12">
        <v>1.9483177872180801E-2</v>
      </c>
      <c r="H49" s="12" t="s">
        <v>12</v>
      </c>
      <c r="I49" s="12" t="s">
        <v>12</v>
      </c>
      <c r="J49" s="12" t="s">
        <v>12</v>
      </c>
      <c r="K49" s="12">
        <v>4.16254034128489</v>
      </c>
      <c r="L49" s="12">
        <v>5.2695070214975104</v>
      </c>
      <c r="M49" s="12">
        <v>4.0726785163058903</v>
      </c>
      <c r="N49" s="12">
        <v>84.524638333134604</v>
      </c>
      <c r="O49" s="12">
        <v>13.0625820708017</v>
      </c>
      <c r="P49" s="13">
        <v>0.9</v>
      </c>
      <c r="Q49" s="12">
        <v>-0.28100475584636803</v>
      </c>
      <c r="R49" s="12" t="s">
        <v>12</v>
      </c>
      <c r="S49" s="12" t="s">
        <v>12</v>
      </c>
      <c r="T49" s="12">
        <v>25</v>
      </c>
      <c r="U49" s="12" t="s">
        <v>127</v>
      </c>
      <c r="V49" s="12"/>
      <c r="W49" s="12"/>
      <c r="X49" s="12"/>
      <c r="Y49" s="12"/>
      <c r="Z49" s="12"/>
    </row>
    <row r="50" spans="1:26" x14ac:dyDescent="0.15">
      <c r="A50" s="5">
        <v>2018</v>
      </c>
      <c r="B50" s="5" t="s">
        <v>14</v>
      </c>
      <c r="C50" s="14">
        <v>509.39837458427502</v>
      </c>
      <c r="D50" s="14">
        <v>492.63703338438103</v>
      </c>
      <c r="E50" s="14">
        <v>501.12993370997702</v>
      </c>
      <c r="F50" s="15">
        <v>60.0072113302773</v>
      </c>
      <c r="G50" s="15">
        <v>0.03</v>
      </c>
      <c r="H50" s="15" t="s">
        <v>12</v>
      </c>
      <c r="I50" s="15" t="s">
        <v>12</v>
      </c>
      <c r="J50" s="15" t="s">
        <v>12</v>
      </c>
      <c r="K50" s="15">
        <v>5</v>
      </c>
      <c r="L50" s="15">
        <v>4.3</v>
      </c>
      <c r="M50" s="15">
        <v>6.7</v>
      </c>
      <c r="N50" s="15">
        <v>59.340675829101997</v>
      </c>
      <c r="O50" s="15">
        <v>14</v>
      </c>
      <c r="P50" s="10"/>
      <c r="Q50" s="15">
        <v>0.21309888980747399</v>
      </c>
      <c r="R50" s="15" t="s">
        <v>12</v>
      </c>
      <c r="S50" s="15" t="s">
        <v>12</v>
      </c>
      <c r="T50" s="15">
        <v>28.2</v>
      </c>
      <c r="U50" s="15" t="s">
        <v>127</v>
      </c>
      <c r="V50" s="15"/>
      <c r="W50" s="15"/>
      <c r="X50" s="15"/>
      <c r="Y50" s="15"/>
      <c r="Z50" s="15"/>
    </row>
    <row r="51" spans="1:26" x14ac:dyDescent="0.15">
      <c r="A51" s="4">
        <v>2018</v>
      </c>
      <c r="B51" s="4" t="s">
        <v>15</v>
      </c>
      <c r="C51" s="11">
        <v>523.41458018670903</v>
      </c>
      <c r="D51" s="11">
        <v>530.10800457541802</v>
      </c>
      <c r="E51" s="11">
        <v>523.01701836823804</v>
      </c>
      <c r="F51" s="12">
        <v>53.467227718401197</v>
      </c>
      <c r="G51" s="12">
        <v>7.7707738376580904E-2</v>
      </c>
      <c r="H51" s="12" t="s">
        <v>12</v>
      </c>
      <c r="I51" s="12" t="s">
        <v>12</v>
      </c>
      <c r="J51" s="12" t="s">
        <v>12</v>
      </c>
      <c r="K51" s="12">
        <v>4.6555540826248896</v>
      </c>
      <c r="L51" s="12">
        <v>4.7415593250329202</v>
      </c>
      <c r="M51" s="12">
        <v>4.0553863667654602</v>
      </c>
      <c r="N51" s="12">
        <v>56.6104625623747</v>
      </c>
      <c r="O51" s="12">
        <v>12.3613140147762</v>
      </c>
      <c r="P51" s="13">
        <v>0.81</v>
      </c>
      <c r="Q51" s="12">
        <v>-0.134357427795288</v>
      </c>
      <c r="R51" s="12" t="s">
        <v>12</v>
      </c>
      <c r="S51" s="12" t="s">
        <v>12</v>
      </c>
      <c r="T51" s="12">
        <v>30.3</v>
      </c>
      <c r="U51" s="12" t="s">
        <v>127</v>
      </c>
      <c r="V51" s="12"/>
      <c r="W51" s="12"/>
      <c r="X51" s="12"/>
      <c r="Y51" s="12"/>
      <c r="Z51" s="12"/>
    </row>
    <row r="52" spans="1:26" x14ac:dyDescent="0.15">
      <c r="A52" s="5">
        <v>2018</v>
      </c>
      <c r="B52" s="5" t="s">
        <v>16</v>
      </c>
      <c r="C52" s="14">
        <v>507.30136184441801</v>
      </c>
      <c r="D52" s="14">
        <v>521.88456300128598</v>
      </c>
      <c r="E52" s="14">
        <v>520.07874819168296</v>
      </c>
      <c r="F52" s="15">
        <v>55.837642154626998</v>
      </c>
      <c r="G52" s="15">
        <v>-3.0802343893210599E-2</v>
      </c>
      <c r="H52" s="15" t="s">
        <v>12</v>
      </c>
      <c r="I52" s="15" t="s">
        <v>12</v>
      </c>
      <c r="J52" s="15" t="s">
        <v>12</v>
      </c>
      <c r="K52" s="15">
        <v>3.5127374006821501</v>
      </c>
      <c r="L52" s="15">
        <v>3.01756395490747</v>
      </c>
      <c r="M52" s="15">
        <v>3.0925960261641201</v>
      </c>
      <c r="N52" s="15">
        <v>111.218965464923</v>
      </c>
      <c r="O52" s="15">
        <v>10.8694977470743</v>
      </c>
      <c r="P52" s="10">
        <v>0.89</v>
      </c>
      <c r="Q52" s="15">
        <v>1.1989916861064801E-2</v>
      </c>
      <c r="R52" s="15" t="s">
        <v>12</v>
      </c>
      <c r="S52" s="15" t="s">
        <v>12</v>
      </c>
      <c r="T52" s="15">
        <v>27.3</v>
      </c>
      <c r="U52" s="15" t="s">
        <v>127</v>
      </c>
      <c r="V52" s="15"/>
      <c r="W52" s="15"/>
      <c r="X52" s="15"/>
      <c r="Y52" s="15"/>
      <c r="Z52" s="15"/>
    </row>
    <row r="53" spans="1:26" x14ac:dyDescent="0.15">
      <c r="A53" s="4">
        <v>2018</v>
      </c>
      <c r="B53" s="4" t="s">
        <v>17</v>
      </c>
      <c r="C53" s="11">
        <v>495.40757939134699</v>
      </c>
      <c r="D53" s="11">
        <v>492.97707394731498</v>
      </c>
      <c r="E53" s="11">
        <v>492.60647919679298</v>
      </c>
      <c r="F53" s="12">
        <v>51.481305041029898</v>
      </c>
      <c r="G53" s="12">
        <v>-0.08</v>
      </c>
      <c r="H53" s="12" t="s">
        <v>12</v>
      </c>
      <c r="I53" s="12" t="s">
        <v>12</v>
      </c>
      <c r="J53" s="12" t="s">
        <v>12</v>
      </c>
      <c r="K53" s="12">
        <v>4</v>
      </c>
      <c r="L53" s="12">
        <v>3</v>
      </c>
      <c r="M53" s="12">
        <v>4</v>
      </c>
      <c r="N53" s="12">
        <v>283.05415643477897</v>
      </c>
      <c r="O53" s="12">
        <v>12</v>
      </c>
      <c r="P53" s="13">
        <v>0.75</v>
      </c>
      <c r="Q53" s="12">
        <v>-7.2355114459756606E-2</v>
      </c>
      <c r="R53" s="12" t="s">
        <v>12</v>
      </c>
      <c r="S53" s="12" t="s">
        <v>12</v>
      </c>
      <c r="T53" s="12">
        <v>32.4</v>
      </c>
      <c r="U53" s="12" t="s">
        <v>127</v>
      </c>
      <c r="V53" s="12"/>
      <c r="W53" s="12"/>
      <c r="X53" s="12"/>
      <c r="Y53" s="12"/>
      <c r="Z53" s="12"/>
    </row>
    <row r="54" spans="1:26" x14ac:dyDescent="0.15">
      <c r="A54" s="5">
        <v>2018</v>
      </c>
      <c r="B54" s="5" t="s">
        <v>18</v>
      </c>
      <c r="C54" s="14">
        <v>500.04378051165298</v>
      </c>
      <c r="D54" s="14">
        <v>502.98890330361399</v>
      </c>
      <c r="E54" s="14">
        <v>498.27925694649701</v>
      </c>
      <c r="F54" s="15">
        <v>51.8</v>
      </c>
      <c r="G54" s="15"/>
      <c r="H54" s="15" t="s">
        <v>12</v>
      </c>
      <c r="I54" s="15"/>
      <c r="J54" s="15" t="s">
        <v>12</v>
      </c>
      <c r="K54" s="15">
        <v>4</v>
      </c>
      <c r="L54" s="15">
        <v>4.4000000000000004</v>
      </c>
      <c r="M54" s="15">
        <v>4</v>
      </c>
      <c r="N54" s="15">
        <v>99.964345186409503</v>
      </c>
      <c r="O54" s="15">
        <v>14</v>
      </c>
      <c r="P54" s="10">
        <v>0.88</v>
      </c>
      <c r="Q54" s="15">
        <v>0.28000000000000003</v>
      </c>
      <c r="R54" s="15" t="s">
        <v>12</v>
      </c>
      <c r="S54" s="15" t="s">
        <v>12</v>
      </c>
      <c r="T54" s="15">
        <v>31.9</v>
      </c>
      <c r="U54" s="15" t="s">
        <v>127</v>
      </c>
      <c r="V54" s="15"/>
      <c r="W54" s="15"/>
      <c r="X54" s="15"/>
      <c r="Y54" s="15"/>
      <c r="Z54" s="15"/>
    </row>
    <row r="55" spans="1:26" x14ac:dyDescent="0.15">
      <c r="A55" s="4">
        <v>2018</v>
      </c>
      <c r="B55" s="4" t="s">
        <v>19</v>
      </c>
      <c r="C55" s="11">
        <v>451.37034380791101</v>
      </c>
      <c r="D55" s="11">
        <v>451.63274156997102</v>
      </c>
      <c r="E55" s="11">
        <v>457.41439476568701</v>
      </c>
      <c r="F55" s="12">
        <v>50.1310868196786</v>
      </c>
      <c r="G55" s="12">
        <v>0.01</v>
      </c>
      <c r="H55" s="12" t="s">
        <v>12</v>
      </c>
      <c r="I55" s="12" t="s">
        <v>12</v>
      </c>
      <c r="J55" s="12" t="s">
        <v>12</v>
      </c>
      <c r="K55" s="12">
        <v>4.4782190765671901</v>
      </c>
      <c r="L55" s="12">
        <v>4.6699933550643102</v>
      </c>
      <c r="M55" s="12">
        <v>3.65881673874211</v>
      </c>
      <c r="N55" s="12">
        <v>92.092513040260897</v>
      </c>
      <c r="O55" s="12">
        <v>9.5310551957553091</v>
      </c>
      <c r="P55" s="13">
        <v>0.85</v>
      </c>
      <c r="Q55" s="12">
        <v>1.69386376344411E-2</v>
      </c>
      <c r="R55" s="12" t="s">
        <v>12</v>
      </c>
      <c r="S55" s="12" t="s">
        <v>12</v>
      </c>
      <c r="T55" s="12">
        <v>32.9</v>
      </c>
      <c r="U55" s="12" t="s">
        <v>127</v>
      </c>
      <c r="V55" s="12"/>
      <c r="W55" s="12"/>
      <c r="X55" s="12"/>
      <c r="Y55" s="12"/>
      <c r="Z55" s="12"/>
    </row>
    <row r="56" spans="1:26" x14ac:dyDescent="0.15">
      <c r="A56" s="5">
        <v>2018</v>
      </c>
      <c r="B56" s="5" t="s">
        <v>20</v>
      </c>
      <c r="C56" s="14">
        <v>481.08263635897498</v>
      </c>
      <c r="D56" s="14">
        <v>480.91169390703999</v>
      </c>
      <c r="E56" s="14">
        <v>475.98667224904398</v>
      </c>
      <c r="F56" s="15">
        <v>50.6836530342459</v>
      </c>
      <c r="G56" s="15">
        <v>-0.11</v>
      </c>
      <c r="H56" s="15" t="s">
        <v>12</v>
      </c>
      <c r="I56" s="15" t="s">
        <v>12</v>
      </c>
      <c r="J56" s="15" t="s">
        <v>12</v>
      </c>
      <c r="K56" s="15">
        <v>3.3335139118344999</v>
      </c>
      <c r="L56" s="15">
        <v>3.8378512933160098</v>
      </c>
      <c r="M56" s="15">
        <v>3.6321633917327198</v>
      </c>
      <c r="N56" s="15">
        <v>120.653700905394</v>
      </c>
      <c r="O56" s="15">
        <v>10.642161715875099</v>
      </c>
      <c r="P56" s="10" t="s">
        <v>12</v>
      </c>
      <c r="Q56" s="15">
        <v>7.4367446310312696E-2</v>
      </c>
      <c r="R56" s="15" t="s">
        <v>12</v>
      </c>
      <c r="S56" s="15" t="s">
        <v>12</v>
      </c>
      <c r="T56" s="15">
        <v>0</v>
      </c>
      <c r="U56" s="15" t="s">
        <v>127</v>
      </c>
      <c r="V56" s="15"/>
      <c r="W56" s="15"/>
      <c r="X56" s="15"/>
      <c r="Y56" s="15"/>
      <c r="Z56" s="15"/>
    </row>
    <row r="57" spans="1:26" x14ac:dyDescent="0.15">
      <c r="A57" s="4">
        <v>2018</v>
      </c>
      <c r="B57" s="4" t="s">
        <v>21</v>
      </c>
      <c r="C57" s="11">
        <v>495.18737622181999</v>
      </c>
      <c r="D57" s="11">
        <v>475.024106315381</v>
      </c>
      <c r="E57" s="11">
        <v>473.97431690660102</v>
      </c>
      <c r="F57" s="12">
        <v>60.592642597089203</v>
      </c>
      <c r="G57" s="12">
        <v>-0.19</v>
      </c>
      <c r="H57" s="12" t="s">
        <v>12</v>
      </c>
      <c r="I57" s="12" t="s">
        <v>12</v>
      </c>
      <c r="J57" s="12" t="s">
        <v>12</v>
      </c>
      <c r="K57" s="12">
        <v>5.1279967728439697</v>
      </c>
      <c r="L57" s="12">
        <v>2.9442548825625101</v>
      </c>
      <c r="M57" s="12">
        <v>5.1448874345742004</v>
      </c>
      <c r="N57" s="12">
        <v>59.806338296861703</v>
      </c>
      <c r="O57" s="12">
        <v>10.612299926058199</v>
      </c>
      <c r="P57" s="13">
        <v>0.85</v>
      </c>
      <c r="Q57" s="12">
        <v>9.9648812950784205E-2</v>
      </c>
      <c r="R57" s="12" t="s">
        <v>12</v>
      </c>
      <c r="S57" s="12" t="s">
        <v>12</v>
      </c>
      <c r="T57" s="12">
        <v>26.6</v>
      </c>
      <c r="U57" s="12" t="s">
        <v>127</v>
      </c>
      <c r="V57" s="12"/>
      <c r="W57" s="12"/>
      <c r="X57" s="12"/>
      <c r="Y57" s="12"/>
      <c r="Z57" s="12"/>
    </row>
    <row r="58" spans="1:26" x14ac:dyDescent="0.15">
      <c r="A58" s="5">
        <v>2018</v>
      </c>
      <c r="B58" s="5" t="s">
        <v>22</v>
      </c>
      <c r="C58" s="14">
        <v>499.63289396778703</v>
      </c>
      <c r="D58" s="14">
        <v>496.11356166765</v>
      </c>
      <c r="E58" s="14">
        <v>518.07845920921795</v>
      </c>
      <c r="F58" s="15">
        <v>52.733955708510898</v>
      </c>
      <c r="G58" s="15">
        <v>0.13</v>
      </c>
      <c r="H58" s="15" t="s">
        <v>12</v>
      </c>
      <c r="I58" s="15">
        <v>3.0936109296262299E-2</v>
      </c>
      <c r="J58" s="15" t="s">
        <v>12</v>
      </c>
      <c r="K58" s="15">
        <v>4.4958000276582597</v>
      </c>
      <c r="L58" s="15">
        <v>3.3526307070692298</v>
      </c>
      <c r="M58" s="15">
        <v>4.29992455229723</v>
      </c>
      <c r="N58" s="15">
        <v>112.669492489842</v>
      </c>
      <c r="O58" s="15">
        <v>12.7924833687152</v>
      </c>
      <c r="P58" s="10">
        <v>0.96</v>
      </c>
      <c r="Q58" s="15">
        <v>-0.153260854388932</v>
      </c>
      <c r="R58" s="15" t="s">
        <v>12</v>
      </c>
      <c r="S58" s="15" t="s">
        <v>12</v>
      </c>
      <c r="T58" s="15">
        <v>30.6</v>
      </c>
      <c r="U58" s="15" t="s">
        <v>127</v>
      </c>
      <c r="V58" s="15"/>
      <c r="W58" s="15"/>
      <c r="X58" s="15"/>
      <c r="Y58" s="15"/>
      <c r="Z58" s="15"/>
    </row>
    <row r="59" spans="1:26" x14ac:dyDescent="0.15">
      <c r="A59" s="4">
        <v>2018</v>
      </c>
      <c r="B59" s="4" t="s">
        <v>23</v>
      </c>
      <c r="C59" s="11">
        <v>463.03454879840501</v>
      </c>
      <c r="D59" s="11">
        <v>462.19663278425298</v>
      </c>
      <c r="E59" s="11">
        <v>470.415177988484</v>
      </c>
      <c r="F59" s="12">
        <v>60.4530243976698</v>
      </c>
      <c r="G59" s="12" t="s">
        <v>12</v>
      </c>
      <c r="H59" s="12" t="s">
        <v>12</v>
      </c>
      <c r="I59" s="12" t="s">
        <v>12</v>
      </c>
      <c r="J59" s="12" t="s">
        <v>12</v>
      </c>
      <c r="K59" s="12">
        <v>5</v>
      </c>
      <c r="L59" s="12">
        <v>4.3</v>
      </c>
      <c r="M59" s="12">
        <v>4.2</v>
      </c>
      <c r="N59" s="12">
        <v>172.29828161254599</v>
      </c>
      <c r="O59" s="12">
        <v>11.630953354566101</v>
      </c>
      <c r="P59" s="13">
        <v>0.6</v>
      </c>
      <c r="Q59" s="12" t="s">
        <v>12</v>
      </c>
      <c r="R59" s="12" t="s">
        <v>12</v>
      </c>
      <c r="S59" s="12" t="s">
        <v>12</v>
      </c>
      <c r="T59" s="12">
        <v>38.6</v>
      </c>
      <c r="U59" s="12" t="s">
        <v>132</v>
      </c>
      <c r="V59" s="12"/>
      <c r="W59" s="12"/>
      <c r="X59" s="12"/>
      <c r="Y59" s="12"/>
      <c r="Z59" s="12"/>
    </row>
    <row r="60" spans="1:26" x14ac:dyDescent="0.15">
      <c r="A60" s="5">
        <v>2018</v>
      </c>
      <c r="B60" s="5" t="s">
        <v>24</v>
      </c>
      <c r="C60" s="14">
        <v>486.58985725929199</v>
      </c>
      <c r="D60" s="14">
        <v>468.01172728913298</v>
      </c>
      <c r="E60" s="14">
        <v>476.28467929067398</v>
      </c>
      <c r="F60" s="15">
        <v>47.273325688729301</v>
      </c>
      <c r="G60" s="15">
        <v>-7.0000000000000007E-2</v>
      </c>
      <c r="H60" s="15" t="s">
        <v>12</v>
      </c>
      <c r="I60" s="15">
        <v>1.7500349981281402E-2</v>
      </c>
      <c r="J60" s="15" t="s">
        <v>12</v>
      </c>
      <c r="K60" s="15">
        <v>4</v>
      </c>
      <c r="L60" s="15">
        <v>2.5</v>
      </c>
      <c r="M60" s="15">
        <v>4.9000000000000004</v>
      </c>
      <c r="N60" s="15">
        <v>198.19087009426201</v>
      </c>
      <c r="O60" s="15">
        <v>9.3262749161698206</v>
      </c>
      <c r="P60" s="10">
        <v>0.79</v>
      </c>
      <c r="Q60" s="15">
        <v>4.3556339967612601E-2</v>
      </c>
      <c r="R60" s="15" t="s">
        <v>12</v>
      </c>
      <c r="S60" s="15" t="s">
        <v>12</v>
      </c>
      <c r="T60" s="15">
        <v>35.200000000000003</v>
      </c>
      <c r="U60" s="15" t="s">
        <v>127</v>
      </c>
      <c r="V60" s="15"/>
      <c r="W60" s="15"/>
      <c r="X60" s="15"/>
      <c r="Y60" s="15"/>
      <c r="Z60" s="15"/>
    </row>
    <row r="61" spans="1:26" x14ac:dyDescent="0.15">
      <c r="A61" s="4">
        <v>2018</v>
      </c>
      <c r="B61" s="4" t="s">
        <v>25</v>
      </c>
      <c r="C61" s="11">
        <v>526.97325016916</v>
      </c>
      <c r="D61" s="11">
        <v>529.13543338358704</v>
      </c>
      <c r="E61" s="11">
        <v>503.85604095964402</v>
      </c>
      <c r="F61" s="12">
        <v>52.246421155656599</v>
      </c>
      <c r="G61" s="12">
        <v>-0.282819484068209</v>
      </c>
      <c r="H61" s="12" t="s">
        <v>12</v>
      </c>
      <c r="I61" s="12" t="s">
        <v>12</v>
      </c>
      <c r="J61" s="12" t="s">
        <v>12</v>
      </c>
      <c r="K61" s="12">
        <v>4.77707438314921</v>
      </c>
      <c r="L61" s="12">
        <v>3.3792362898050801</v>
      </c>
      <c r="M61" s="12">
        <v>4.2512051193596898</v>
      </c>
      <c r="N61" s="12">
        <v>252.45777551506501</v>
      </c>
      <c r="O61" s="12">
        <v>11.935319449597801</v>
      </c>
      <c r="P61" s="13">
        <v>0.96</v>
      </c>
      <c r="Q61" s="12">
        <v>1.52247139691278E-2</v>
      </c>
      <c r="R61" s="12" t="s">
        <v>12</v>
      </c>
      <c r="S61" s="12" t="s">
        <v>12</v>
      </c>
      <c r="T61" s="12">
        <v>32.9</v>
      </c>
      <c r="U61" s="12" t="s">
        <v>129</v>
      </c>
      <c r="V61" s="12"/>
      <c r="W61" s="12"/>
      <c r="X61" s="12"/>
      <c r="Y61" s="12"/>
      <c r="Z61" s="12"/>
    </row>
    <row r="62" spans="1:26" x14ac:dyDescent="0.15">
      <c r="A62" s="5">
        <v>2018</v>
      </c>
      <c r="B62" s="5" t="s">
        <v>26</v>
      </c>
      <c r="C62" s="14">
        <v>525.93300203961599</v>
      </c>
      <c r="D62" s="14">
        <v>519.00725485820703</v>
      </c>
      <c r="E62" s="14">
        <v>514.05228824343806</v>
      </c>
      <c r="F62" s="15">
        <v>52.468691166633803</v>
      </c>
      <c r="G62" s="15" t="s">
        <v>12</v>
      </c>
      <c r="H62" s="15" t="s">
        <v>12</v>
      </c>
      <c r="I62" s="15">
        <v>-0.36921781899169198</v>
      </c>
      <c r="J62" s="15" t="s">
        <v>12</v>
      </c>
      <c r="K62" s="15">
        <v>3.6734779159350701</v>
      </c>
      <c r="L62" s="15">
        <v>3.6060891526032801</v>
      </c>
      <c r="M62" s="15">
        <v>3.75134203373702</v>
      </c>
      <c r="N62" s="15">
        <v>241.67775102914501</v>
      </c>
      <c r="O62" s="15">
        <v>13.4533090408981</v>
      </c>
      <c r="P62" s="10">
        <v>0.95</v>
      </c>
      <c r="Q62" s="15">
        <v>0.27919698680934601</v>
      </c>
      <c r="R62" s="15" t="s">
        <v>12</v>
      </c>
      <c r="S62" s="15" t="s">
        <v>12</v>
      </c>
      <c r="T62" s="15" t="s">
        <v>125</v>
      </c>
      <c r="U62" s="15" t="s">
        <v>129</v>
      </c>
      <c r="V62" s="15"/>
      <c r="W62" s="15"/>
      <c r="X62" s="15"/>
      <c r="Y62" s="15"/>
      <c r="Z62" s="15"/>
    </row>
    <row r="63" spans="1:26" x14ac:dyDescent="0.15">
      <c r="A63" s="4">
        <v>2018</v>
      </c>
      <c r="B63" s="4" t="s">
        <v>27</v>
      </c>
      <c r="C63" s="11">
        <v>496.126330622544</v>
      </c>
      <c r="D63" s="11">
        <v>487.25058821937</v>
      </c>
      <c r="E63" s="11">
        <v>478.69867415764003</v>
      </c>
      <c r="F63" s="12">
        <v>53.523363436237197</v>
      </c>
      <c r="G63" s="12">
        <v>0.37125194957976398</v>
      </c>
      <c r="H63" s="12" t="s">
        <v>12</v>
      </c>
      <c r="I63" s="12" t="s">
        <v>12</v>
      </c>
      <c r="J63" s="12" t="s">
        <v>12</v>
      </c>
      <c r="K63" s="12">
        <v>5.5541640665966598</v>
      </c>
      <c r="L63" s="12">
        <v>5.8531661847442704</v>
      </c>
      <c r="M63" s="12">
        <v>3.9566598612570298</v>
      </c>
      <c r="N63" s="12">
        <v>52.442986694789099</v>
      </c>
      <c r="O63" s="12">
        <v>10.9696734674193</v>
      </c>
      <c r="P63" s="13" t="s">
        <v>12</v>
      </c>
      <c r="Q63" s="12">
        <v>-0.256660945197551</v>
      </c>
      <c r="R63" s="12" t="s">
        <v>12</v>
      </c>
      <c r="S63" s="12" t="s">
        <v>12</v>
      </c>
      <c r="T63" s="12">
        <v>35.1</v>
      </c>
      <c r="U63" s="12" t="s">
        <v>127</v>
      </c>
      <c r="V63" s="12"/>
      <c r="W63" s="12"/>
      <c r="X63" s="12"/>
      <c r="Y63" s="12"/>
      <c r="Z63" s="12"/>
    </row>
    <row r="64" spans="1:26" x14ac:dyDescent="0.15">
      <c r="A64" s="5">
        <v>2018</v>
      </c>
      <c r="B64" s="5" t="s">
        <v>28</v>
      </c>
      <c r="C64" s="14">
        <v>481.191188395501</v>
      </c>
      <c r="D64" s="14">
        <v>482.067012707652</v>
      </c>
      <c r="E64" s="14">
        <v>475.87347969004702</v>
      </c>
      <c r="F64" s="15">
        <v>53.082500934408102</v>
      </c>
      <c r="G64" s="15">
        <v>0.02</v>
      </c>
      <c r="H64" s="15" t="s">
        <v>12</v>
      </c>
      <c r="I64" s="15" t="s">
        <v>12</v>
      </c>
      <c r="J64" s="15" t="s">
        <v>12</v>
      </c>
      <c r="K64" s="15">
        <v>3.9983540215083502</v>
      </c>
      <c r="L64" s="15">
        <v>5.8186665129413102</v>
      </c>
      <c r="M64" s="15">
        <v>4.6544749131846697</v>
      </c>
      <c r="N64" s="15">
        <v>85.438817398833905</v>
      </c>
      <c r="O64" s="15">
        <v>10.5026577382135</v>
      </c>
      <c r="P64" s="10">
        <v>0.98</v>
      </c>
      <c r="Q64" s="15">
        <v>-0.13429312713608099</v>
      </c>
      <c r="R64" s="15" t="s">
        <v>12</v>
      </c>
      <c r="S64" s="15" t="s">
        <v>12</v>
      </c>
      <c r="T64" s="15">
        <v>35.700000000000003</v>
      </c>
      <c r="U64" s="15" t="s">
        <v>127</v>
      </c>
      <c r="V64" s="15"/>
      <c r="W64" s="15"/>
      <c r="X64" s="15"/>
      <c r="Y64" s="15"/>
      <c r="Z64" s="15"/>
    </row>
    <row r="65" spans="1:26" x14ac:dyDescent="0.15">
      <c r="A65" s="4">
        <v>2018</v>
      </c>
      <c r="B65" s="4" t="s">
        <v>29</v>
      </c>
      <c r="C65" s="11">
        <v>483.42148500786601</v>
      </c>
      <c r="D65" s="11">
        <v>476.76940591543803</v>
      </c>
      <c r="E65" s="11">
        <v>469.98538925379802</v>
      </c>
      <c r="F65" s="12">
        <v>51.431956180237897</v>
      </c>
      <c r="G65" s="12">
        <v>-4.4213409000036799E-2</v>
      </c>
      <c r="H65" s="12" t="s">
        <v>12</v>
      </c>
      <c r="I65" s="12">
        <v>0.15</v>
      </c>
      <c r="J65" s="12" t="s">
        <v>12</v>
      </c>
      <c r="K65" s="12">
        <v>3.9943611920274198</v>
      </c>
      <c r="L65" s="12">
        <v>3.6097246466812298</v>
      </c>
      <c r="M65" s="12">
        <v>3.8862984119822102</v>
      </c>
      <c r="N65" s="12">
        <v>256.67228724243301</v>
      </c>
      <c r="O65" s="12">
        <v>9.3805896938119009</v>
      </c>
      <c r="P65" s="13">
        <v>0.72</v>
      </c>
      <c r="Q65" s="12">
        <v>8.7199839348448799E-2</v>
      </c>
      <c r="R65" s="12" t="s">
        <v>12</v>
      </c>
      <c r="S65" s="12" t="s">
        <v>12</v>
      </c>
      <c r="T65" s="12">
        <v>35.4</v>
      </c>
      <c r="U65" s="12" t="s">
        <v>127</v>
      </c>
      <c r="V65" s="12"/>
      <c r="W65" s="12"/>
      <c r="X65" s="12"/>
      <c r="Y65" s="12"/>
      <c r="Z65" s="12"/>
    </row>
    <row r="66" spans="1:26" x14ac:dyDescent="0.15">
      <c r="A66" s="5">
        <v>2018</v>
      </c>
      <c r="B66" s="5" t="s">
        <v>30</v>
      </c>
      <c r="C66" s="14">
        <v>408.80147337531503</v>
      </c>
      <c r="D66" s="14">
        <v>419.20471927474</v>
      </c>
      <c r="E66" s="14">
        <v>420.46889230123099</v>
      </c>
      <c r="F66" s="15">
        <v>40.825099129267201</v>
      </c>
      <c r="G66" s="15"/>
      <c r="H66" s="15" t="s">
        <v>12</v>
      </c>
      <c r="I66" s="15">
        <v>-2.01089388966827E-2</v>
      </c>
      <c r="J66" s="15" t="s">
        <v>12</v>
      </c>
      <c r="K66" s="15">
        <v>4.2404637799123002</v>
      </c>
      <c r="L66" s="15">
        <v>4.0820477179330199</v>
      </c>
      <c r="M66" s="15">
        <v>4.0795285737725502</v>
      </c>
      <c r="N66" s="15">
        <v>402.286277568998</v>
      </c>
      <c r="O66" s="15">
        <v>33.6575649719342</v>
      </c>
      <c r="P66" s="10">
        <v>0.42</v>
      </c>
      <c r="Q66" s="15">
        <v>-0.02</v>
      </c>
      <c r="R66" s="15" t="s">
        <v>12</v>
      </c>
      <c r="S66" s="15" t="s">
        <v>12</v>
      </c>
      <c r="T66" s="15">
        <v>46</v>
      </c>
      <c r="U66" s="15" t="s">
        <v>128</v>
      </c>
      <c r="V66" s="15"/>
      <c r="W66" s="15"/>
      <c r="X66" s="15"/>
      <c r="Y66" s="15"/>
      <c r="Z66" s="15"/>
    </row>
    <row r="67" spans="1:26" x14ac:dyDescent="0.15">
      <c r="A67" s="4">
        <v>2018</v>
      </c>
      <c r="B67" s="4" t="s">
        <v>31</v>
      </c>
      <c r="C67" s="11">
        <v>519.23098239301703</v>
      </c>
      <c r="D67" s="11">
        <v>503.383819429651</v>
      </c>
      <c r="E67" s="11">
        <v>484.78372510872703</v>
      </c>
      <c r="F67" s="12">
        <v>55.188743803178603</v>
      </c>
      <c r="G67" s="12">
        <v>-0.3</v>
      </c>
      <c r="H67" s="12" t="s">
        <v>12</v>
      </c>
      <c r="I67" s="12" t="s">
        <v>12</v>
      </c>
      <c r="J67" s="12" t="s">
        <v>12</v>
      </c>
      <c r="K67" s="12">
        <v>3</v>
      </c>
      <c r="L67" s="12">
        <v>5.2</v>
      </c>
      <c r="M67" s="12">
        <v>3.3</v>
      </c>
      <c r="N67" s="12">
        <v>233.59374634159201</v>
      </c>
      <c r="O67" s="12">
        <v>17.419712875936501</v>
      </c>
      <c r="P67" s="13">
        <v>0.86</v>
      </c>
      <c r="Q67" s="12">
        <v>0.2</v>
      </c>
      <c r="R67" s="12" t="s">
        <v>12</v>
      </c>
      <c r="S67" s="12" t="s">
        <v>12</v>
      </c>
      <c r="T67" s="12">
        <v>28.1</v>
      </c>
      <c r="U67" s="12" t="s">
        <v>127</v>
      </c>
      <c r="V67" s="12"/>
      <c r="W67" s="12"/>
      <c r="X67" s="12"/>
      <c r="Y67" s="12"/>
      <c r="Z67" s="12"/>
    </row>
    <row r="68" spans="1:26" x14ac:dyDescent="0.15">
      <c r="A68" s="5">
        <v>2018</v>
      </c>
      <c r="B68" s="5" t="s">
        <v>32</v>
      </c>
      <c r="C68" s="14">
        <v>494.48967597553002</v>
      </c>
      <c r="D68" s="14">
        <v>508.49072143894603</v>
      </c>
      <c r="E68" s="14">
        <v>505.72728341639299</v>
      </c>
      <c r="F68" s="15">
        <v>56.241265292869599</v>
      </c>
      <c r="G68" s="15">
        <v>0.4</v>
      </c>
      <c r="H68" s="15" t="s">
        <v>12</v>
      </c>
      <c r="I68" s="15" t="s">
        <v>12</v>
      </c>
      <c r="J68" s="15" t="s">
        <v>12</v>
      </c>
      <c r="K68" s="15">
        <v>4.1132357465660601</v>
      </c>
      <c r="L68" s="15">
        <v>4.2006702758040397</v>
      </c>
      <c r="M68" s="15">
        <v>4.1909912763040902</v>
      </c>
      <c r="N68" s="15" t="s">
        <v>12</v>
      </c>
      <c r="O68" s="15">
        <v>14.3619950006841</v>
      </c>
      <c r="P68" s="10">
        <v>0.84</v>
      </c>
      <c r="Q68" s="15">
        <v>-0.211548293759172</v>
      </c>
      <c r="R68" s="15" t="s">
        <v>12</v>
      </c>
      <c r="S68" s="15" t="s">
        <v>12</v>
      </c>
      <c r="T68" s="15">
        <v>0</v>
      </c>
      <c r="U68" s="15" t="s">
        <v>130</v>
      </c>
      <c r="V68" s="15"/>
      <c r="W68" s="15"/>
      <c r="X68" s="15"/>
      <c r="Y68" s="15"/>
      <c r="Z68" s="15"/>
    </row>
    <row r="69" spans="1:26" x14ac:dyDescent="0.15">
      <c r="A69" s="4">
        <v>2018</v>
      </c>
      <c r="B69" s="4" t="s">
        <v>33</v>
      </c>
      <c r="C69" s="11">
        <v>500.96378846276201</v>
      </c>
      <c r="D69" s="11">
        <v>490.413149379895</v>
      </c>
      <c r="E69" s="11">
        <v>499.45095625260598</v>
      </c>
      <c r="F69" s="12">
        <v>61.599728248678403</v>
      </c>
      <c r="G69" s="12">
        <v>-0.12977305859284199</v>
      </c>
      <c r="H69" s="12" t="s">
        <v>12</v>
      </c>
      <c r="I69" s="12" t="s">
        <v>12</v>
      </c>
      <c r="J69" s="12" t="s">
        <v>12</v>
      </c>
      <c r="K69" s="12">
        <v>3.6979864886087999</v>
      </c>
      <c r="L69" s="12">
        <v>2.7097501780545499</v>
      </c>
      <c r="M69" s="12">
        <v>4.2595947590656396</v>
      </c>
      <c r="N69" s="12" t="s">
        <v>12</v>
      </c>
      <c r="O69" s="12" t="s">
        <v>12</v>
      </c>
      <c r="P69" s="13" t="s">
        <v>12</v>
      </c>
      <c r="Q69" s="12">
        <v>0.36308951027664799</v>
      </c>
      <c r="R69" s="12" t="s">
        <v>12</v>
      </c>
      <c r="S69" s="12" t="s">
        <v>12</v>
      </c>
      <c r="T69" s="12">
        <v>27.6</v>
      </c>
      <c r="U69" s="12" t="s">
        <v>127</v>
      </c>
      <c r="V69" s="12"/>
      <c r="W69" s="12"/>
      <c r="X69" s="12"/>
      <c r="Y69" s="12"/>
      <c r="Z69" s="12"/>
    </row>
    <row r="70" spans="1:26" x14ac:dyDescent="0.15">
      <c r="A70" s="5">
        <v>2018</v>
      </c>
      <c r="B70" s="5" t="s">
        <v>34</v>
      </c>
      <c r="C70" s="14">
        <v>515.647874653798</v>
      </c>
      <c r="D70" s="14">
        <v>511.03556192996399</v>
      </c>
      <c r="E70" s="14">
        <v>511.85569538941098</v>
      </c>
      <c r="F70" s="15">
        <v>49.757149764191503</v>
      </c>
      <c r="G70" s="15">
        <v>7.0508882631828598E-2</v>
      </c>
      <c r="H70" s="15" t="s">
        <v>12</v>
      </c>
      <c r="I70" s="15" t="s">
        <v>12</v>
      </c>
      <c r="J70" s="15" t="s">
        <v>12</v>
      </c>
      <c r="K70" s="15">
        <v>4.6851284385460401</v>
      </c>
      <c r="L70" s="15">
        <v>3.7927412350967402</v>
      </c>
      <c r="M70" s="15">
        <v>5.0262163569776197</v>
      </c>
      <c r="N70" s="15">
        <v>86.2060834715748</v>
      </c>
      <c r="O70" s="15">
        <v>8.0833072245588493</v>
      </c>
      <c r="P70" s="10">
        <v>0.85</v>
      </c>
      <c r="Q70" s="15">
        <v>-0.24306037047125401</v>
      </c>
      <c r="R70" s="15" t="s">
        <v>12</v>
      </c>
      <c r="S70" s="15" t="s">
        <v>12</v>
      </c>
      <c r="T70" s="15">
        <v>30.2</v>
      </c>
      <c r="U70" s="15" t="s">
        <v>127</v>
      </c>
      <c r="V70" s="15"/>
      <c r="W70" s="15"/>
      <c r="X70" s="15"/>
      <c r="Y70" s="15"/>
      <c r="Z70" s="15"/>
    </row>
    <row r="71" spans="1:26" x14ac:dyDescent="0.15">
      <c r="A71" s="4">
        <v>2018</v>
      </c>
      <c r="B71" s="4" t="s">
        <v>35</v>
      </c>
      <c r="C71" s="11">
        <v>492.487406151968</v>
      </c>
      <c r="D71" s="11">
        <v>491.67732849961197</v>
      </c>
      <c r="E71" s="11">
        <v>491.80078514823902</v>
      </c>
      <c r="F71" s="12">
        <v>49.519760691685399</v>
      </c>
      <c r="G71" s="12">
        <v>-0.25</v>
      </c>
      <c r="H71" s="12" t="s">
        <v>12</v>
      </c>
      <c r="I71" s="12">
        <v>0.39159936631306602</v>
      </c>
      <c r="J71" s="12" t="s">
        <v>12</v>
      </c>
      <c r="K71" s="12">
        <v>3.86779015580955</v>
      </c>
      <c r="L71" s="12">
        <v>3.1259694645023002</v>
      </c>
      <c r="M71" s="12">
        <v>3.5169437607821701</v>
      </c>
      <c r="N71" s="12">
        <v>221.72931015884001</v>
      </c>
      <c r="O71" s="12">
        <v>10.398394895542699</v>
      </c>
      <c r="P71" s="13">
        <v>0.82</v>
      </c>
      <c r="Q71" s="12">
        <v>0.124690237852842</v>
      </c>
      <c r="R71" s="12" t="s">
        <v>12</v>
      </c>
      <c r="S71" s="12" t="s">
        <v>12</v>
      </c>
      <c r="T71" s="12">
        <v>33.5</v>
      </c>
      <c r="U71" s="12" t="s">
        <v>127</v>
      </c>
      <c r="V71" s="12"/>
      <c r="W71" s="12"/>
      <c r="X71" s="12"/>
      <c r="Y71" s="12"/>
      <c r="Z71" s="12"/>
    </row>
    <row r="72" spans="1:26" x14ac:dyDescent="0.15">
      <c r="A72" s="5">
        <v>2018</v>
      </c>
      <c r="B72" s="5" t="s">
        <v>36</v>
      </c>
      <c r="C72" s="14">
        <v>486.16485422120797</v>
      </c>
      <c r="D72" s="14">
        <v>464.047578171596</v>
      </c>
      <c r="E72" s="14">
        <v>457.98396699154802</v>
      </c>
      <c r="F72" s="15">
        <v>48.555174029646103</v>
      </c>
      <c r="G72" s="15">
        <v>0.08</v>
      </c>
      <c r="H72" s="15" t="s">
        <v>12</v>
      </c>
      <c r="I72" s="15" t="s">
        <v>12</v>
      </c>
      <c r="J72" s="15" t="s">
        <v>12</v>
      </c>
      <c r="K72" s="15">
        <v>4</v>
      </c>
      <c r="L72" s="15">
        <v>3.3</v>
      </c>
      <c r="M72" s="15">
        <v>4.3</v>
      </c>
      <c r="N72" s="15">
        <v>78.268613647575094</v>
      </c>
      <c r="O72" s="15">
        <v>12.8804666761256</v>
      </c>
      <c r="P72" s="10">
        <v>0.87</v>
      </c>
      <c r="Q72" s="15">
        <v>-0.28267670943871798</v>
      </c>
      <c r="R72" s="15" t="s">
        <v>12</v>
      </c>
      <c r="S72" s="15" t="s">
        <v>12</v>
      </c>
      <c r="T72" s="15" t="s">
        <v>125</v>
      </c>
      <c r="U72" s="15" t="s">
        <v>127</v>
      </c>
      <c r="V72" s="15"/>
      <c r="W72" s="15"/>
      <c r="X72" s="15"/>
      <c r="Y72" s="15"/>
      <c r="Z72" s="15"/>
    </row>
    <row r="73" spans="1:26" x14ac:dyDescent="0.15">
      <c r="A73" s="4">
        <v>2018</v>
      </c>
      <c r="B73" s="4" t="s">
        <v>37</v>
      </c>
      <c r="C73" s="11">
        <v>508.89754406909998</v>
      </c>
      <c r="D73" s="11">
        <v>507.00654589979303</v>
      </c>
      <c r="E73" s="11">
        <v>495.34561516068999</v>
      </c>
      <c r="F73" s="12">
        <v>52.314159419482998</v>
      </c>
      <c r="G73" s="12">
        <v>-0.11</v>
      </c>
      <c r="H73" s="12" t="s">
        <v>12</v>
      </c>
      <c r="I73" s="12" t="s">
        <v>12</v>
      </c>
      <c r="J73" s="12" t="s">
        <v>12</v>
      </c>
      <c r="K73" s="12">
        <v>3.6899337373400698</v>
      </c>
      <c r="L73" s="12">
        <v>4.3022846540431399</v>
      </c>
      <c r="M73" s="12">
        <v>3.8910284383762002</v>
      </c>
      <c r="N73" s="12">
        <v>130.66040644448299</v>
      </c>
      <c r="O73" s="12">
        <v>8.8226836205156207</v>
      </c>
      <c r="P73" s="13">
        <v>0.88</v>
      </c>
      <c r="Q73" s="12">
        <v>-0.10541338904946</v>
      </c>
      <c r="R73" s="12" t="s">
        <v>12</v>
      </c>
      <c r="S73" s="12" t="s">
        <v>12</v>
      </c>
      <c r="T73" s="12">
        <v>24.6</v>
      </c>
      <c r="U73" s="12" t="s">
        <v>127</v>
      </c>
      <c r="V73" s="12"/>
      <c r="W73" s="12"/>
      <c r="X73" s="12"/>
      <c r="Y73" s="12"/>
      <c r="Z73" s="12"/>
    </row>
    <row r="74" spans="1:26" x14ac:dyDescent="0.15">
      <c r="A74" s="5">
        <v>2018</v>
      </c>
      <c r="B74" s="5" t="s">
        <v>38</v>
      </c>
      <c r="C74" s="14">
        <v>481.39261258441798</v>
      </c>
      <c r="D74" s="14">
        <v>483.25204266083398</v>
      </c>
      <c r="E74" s="14" t="s">
        <v>12</v>
      </c>
      <c r="F74" s="15">
        <v>48.628161164909898</v>
      </c>
      <c r="G74" s="15">
        <v>-0.21</v>
      </c>
      <c r="H74" s="15" t="s">
        <v>12</v>
      </c>
      <c r="I74" s="15" t="s">
        <v>12</v>
      </c>
      <c r="J74" s="15" t="s">
        <v>12</v>
      </c>
      <c r="K74" s="15">
        <v>4</v>
      </c>
      <c r="L74" s="15">
        <v>3.5</v>
      </c>
      <c r="M74" s="15">
        <v>3.8</v>
      </c>
      <c r="N74" s="15">
        <v>81.268239002922101</v>
      </c>
      <c r="O74" s="15">
        <v>11.984157907839</v>
      </c>
      <c r="P74" s="10">
        <v>0.92</v>
      </c>
      <c r="Q74" s="15">
        <v>0.46335925525819699</v>
      </c>
      <c r="R74" s="15" t="s">
        <v>12</v>
      </c>
      <c r="S74" s="15" t="s">
        <v>12</v>
      </c>
      <c r="T74" s="15">
        <v>34.700000000000003</v>
      </c>
      <c r="U74" s="15" t="s">
        <v>127</v>
      </c>
      <c r="V74" s="15"/>
      <c r="W74" s="15"/>
      <c r="X74" s="15"/>
      <c r="Y74" s="15"/>
      <c r="Z74" s="15"/>
    </row>
    <row r="75" spans="1:26" x14ac:dyDescent="0.15">
      <c r="A75" s="4">
        <v>2018</v>
      </c>
      <c r="B75" s="4" t="s">
        <v>39</v>
      </c>
      <c r="C75" s="11">
        <v>502.38770215454201</v>
      </c>
      <c r="D75" s="11">
        <v>499.44469009078301</v>
      </c>
      <c r="E75" s="11">
        <v>505.78522048463202</v>
      </c>
      <c r="F75" s="12">
        <v>59.502446829674597</v>
      </c>
      <c r="G75" s="12">
        <v>-0.120031945327377</v>
      </c>
      <c r="H75" s="12" t="s">
        <v>12</v>
      </c>
      <c r="I75" s="12" t="s">
        <v>12</v>
      </c>
      <c r="J75" s="12" t="s">
        <v>12</v>
      </c>
      <c r="K75" s="12">
        <v>3.2442184435949599</v>
      </c>
      <c r="L75" s="12">
        <v>3.0601775969765801</v>
      </c>
      <c r="M75" s="12">
        <v>3.0422392203237298</v>
      </c>
      <c r="N75" s="12" t="s">
        <v>12</v>
      </c>
      <c r="O75" s="12">
        <v>11.910666318272201</v>
      </c>
      <c r="P75" s="13">
        <v>0.79</v>
      </c>
      <c r="Q75" s="12">
        <v>3.1444563882453098E-2</v>
      </c>
      <c r="R75" s="12" t="s">
        <v>12</v>
      </c>
      <c r="S75" s="12" t="s">
        <v>12</v>
      </c>
      <c r="T75" s="12">
        <v>30</v>
      </c>
      <c r="U75" s="12" t="s">
        <v>127</v>
      </c>
      <c r="V75" s="12"/>
      <c r="W75" s="12"/>
      <c r="X75" s="12"/>
      <c r="Y75" s="12"/>
      <c r="Z75" s="12"/>
    </row>
    <row r="76" spans="1:26" x14ac:dyDescent="0.15">
      <c r="A76" s="5">
        <v>2018</v>
      </c>
      <c r="B76" s="5" t="s">
        <v>40</v>
      </c>
      <c r="C76" s="14">
        <v>515.31471310951599</v>
      </c>
      <c r="D76" s="14">
        <v>495.27628790703898</v>
      </c>
      <c r="E76" s="14">
        <v>483.929405173948</v>
      </c>
      <c r="F76" s="15">
        <v>52.582677818243098</v>
      </c>
      <c r="G76" s="15">
        <v>0</v>
      </c>
      <c r="H76" s="15" t="s">
        <v>12</v>
      </c>
      <c r="I76" s="15" t="s">
        <v>12</v>
      </c>
      <c r="J76" s="15" t="s">
        <v>12</v>
      </c>
      <c r="K76" s="15">
        <v>4</v>
      </c>
      <c r="L76" s="15">
        <v>3.3</v>
      </c>
      <c r="M76" s="15">
        <v>4.3</v>
      </c>
      <c r="N76" s="15">
        <v>144.59364403740599</v>
      </c>
      <c r="O76" s="15">
        <v>12.9435282331808</v>
      </c>
      <c r="P76" s="10">
        <v>0.84</v>
      </c>
      <c r="Q76" s="15">
        <v>0.29679820657262501</v>
      </c>
      <c r="R76" s="15" t="s">
        <v>12</v>
      </c>
      <c r="S76" s="15" t="s">
        <v>12</v>
      </c>
      <c r="T76" s="15">
        <v>33.1</v>
      </c>
      <c r="U76" s="15" t="s">
        <v>127</v>
      </c>
      <c r="V76" s="15"/>
      <c r="W76" s="15"/>
      <c r="X76" s="15"/>
      <c r="Y76" s="15"/>
      <c r="Z76" s="15"/>
    </row>
    <row r="77" spans="1:26" x14ac:dyDescent="0.15">
      <c r="A77" s="4">
        <v>2018</v>
      </c>
      <c r="B77" s="4" t="s">
        <v>41</v>
      </c>
      <c r="C77" s="11">
        <v>453.50777743499202</v>
      </c>
      <c r="D77" s="11">
        <v>468.29961800713102</v>
      </c>
      <c r="E77" s="11">
        <v>465.63166568819503</v>
      </c>
      <c r="F77" s="12">
        <v>37.711605640465599</v>
      </c>
      <c r="G77" s="12">
        <v>-4.7951930391868597E-2</v>
      </c>
      <c r="H77" s="12" t="s">
        <v>12</v>
      </c>
      <c r="I77" s="12" t="s">
        <v>12</v>
      </c>
      <c r="J77" s="12" t="s">
        <v>12</v>
      </c>
      <c r="K77" s="12">
        <v>5.6734996607956099</v>
      </c>
      <c r="L77" s="12">
        <v>4.9647511954641796</v>
      </c>
      <c r="M77" s="12">
        <v>5.0323000697236502</v>
      </c>
      <c r="N77" s="12">
        <v>171.87157357356099</v>
      </c>
      <c r="O77" s="12">
        <v>13.4526563537647</v>
      </c>
      <c r="P77" s="13">
        <v>0.85</v>
      </c>
      <c r="Q77" s="12">
        <v>-0.135908067075803</v>
      </c>
      <c r="R77" s="12" t="s">
        <v>12</v>
      </c>
      <c r="S77" s="12" t="s">
        <v>12</v>
      </c>
      <c r="T77" s="12">
        <v>42.4</v>
      </c>
      <c r="U77" s="12" t="s">
        <v>132</v>
      </c>
      <c r="V77" s="12"/>
      <c r="W77" s="12"/>
      <c r="X77" s="12"/>
      <c r="Y77" s="12"/>
      <c r="Z77" s="12"/>
    </row>
    <row r="78" spans="1:26" x14ac:dyDescent="0.15">
      <c r="A78" s="5">
        <v>2018</v>
      </c>
      <c r="B78" s="5" t="s">
        <v>42</v>
      </c>
      <c r="C78" s="14">
        <v>501.76989918504597</v>
      </c>
      <c r="D78" s="14">
        <v>504.66747364428699</v>
      </c>
      <c r="E78" s="14">
        <v>503.92810939577998</v>
      </c>
      <c r="F78" s="15">
        <v>58.025653797613302</v>
      </c>
      <c r="G78" s="15">
        <v>0.240869947713578</v>
      </c>
      <c r="H78" s="15" t="s">
        <v>12</v>
      </c>
      <c r="I78" s="15" t="s">
        <v>12</v>
      </c>
      <c r="J78" s="15" t="s">
        <v>12</v>
      </c>
      <c r="K78" s="15">
        <v>4.4559097700614601</v>
      </c>
      <c r="L78" s="15">
        <v>5.4791614350562803</v>
      </c>
      <c r="M78" s="15">
        <v>4.5815978457628601</v>
      </c>
      <c r="N78" s="15">
        <v>178.62371754217199</v>
      </c>
      <c r="O78" s="15">
        <v>15</v>
      </c>
      <c r="P78" s="10">
        <v>0.96</v>
      </c>
      <c r="Q78" s="15">
        <v>-0.19135250626490199</v>
      </c>
      <c r="R78" s="15" t="s">
        <v>12</v>
      </c>
      <c r="S78" s="15" t="s">
        <v>12</v>
      </c>
      <c r="T78" s="15">
        <v>33.700000000000003</v>
      </c>
      <c r="U78" s="15" t="s">
        <v>127</v>
      </c>
      <c r="V78" s="15"/>
      <c r="W78" s="15"/>
      <c r="X78" s="15"/>
      <c r="Y78" s="15"/>
      <c r="Z78" s="15"/>
    </row>
    <row r="79" spans="1:26" x14ac:dyDescent="0.15">
      <c r="A79" s="4">
        <v>2018</v>
      </c>
      <c r="B79" s="4" t="s">
        <v>43</v>
      </c>
      <c r="C79" s="11">
        <v>478.24471737264298</v>
      </c>
      <c r="D79" s="11">
        <v>502.38003193814097</v>
      </c>
      <c r="E79" s="11">
        <v>505.35277052284999</v>
      </c>
      <c r="F79" s="12">
        <v>55.729902578285603</v>
      </c>
      <c r="G79" s="12">
        <v>0.153372559006447</v>
      </c>
      <c r="H79" s="12" t="s">
        <v>12</v>
      </c>
      <c r="I79" s="12" t="s">
        <v>12</v>
      </c>
      <c r="J79" s="12" t="s">
        <v>12</v>
      </c>
      <c r="K79" s="12">
        <v>3.9453451915642201</v>
      </c>
      <c r="L79" s="12">
        <v>3.97852847951467</v>
      </c>
      <c r="M79" s="12">
        <v>4.0885350882350302</v>
      </c>
      <c r="N79" s="12">
        <v>378.64414944622001</v>
      </c>
      <c r="O79" s="12">
        <v>17</v>
      </c>
      <c r="P79" s="13">
        <v>0.93</v>
      </c>
      <c r="Q79" s="12">
        <v>-0.23639556857531899</v>
      </c>
      <c r="R79" s="12" t="s">
        <v>12</v>
      </c>
      <c r="S79" s="12" t="s">
        <v>12</v>
      </c>
      <c r="T79" s="12">
        <v>41.8</v>
      </c>
      <c r="U79" s="12" t="s">
        <v>128</v>
      </c>
      <c r="V79" s="12"/>
      <c r="W79" s="12"/>
      <c r="X79" s="12"/>
      <c r="Y79" s="12"/>
      <c r="Z79" s="12"/>
    </row>
    <row r="80" spans="1:26" x14ac:dyDescent="0.15">
      <c r="A80" s="5">
        <v>2015</v>
      </c>
      <c r="B80" s="5" t="s">
        <v>4</v>
      </c>
      <c r="C80" s="14">
        <v>484.879396687145</v>
      </c>
      <c r="D80" s="14">
        <v>488.75804450511498</v>
      </c>
      <c r="E80" s="14">
        <v>488.526608059051</v>
      </c>
      <c r="F80" s="15">
        <v>51.372553597854598</v>
      </c>
      <c r="G80" s="15" t="s">
        <v>12</v>
      </c>
      <c r="H80" s="15" t="s">
        <v>12</v>
      </c>
      <c r="I80" s="15">
        <v>3.4115074932765402E-2</v>
      </c>
      <c r="J80" s="15" t="s">
        <v>12</v>
      </c>
      <c r="K80" s="15">
        <v>4.3023272740070597</v>
      </c>
      <c r="L80" s="15">
        <v>4.2220742306829999</v>
      </c>
      <c r="M80" s="15">
        <v>4.2350935520048596</v>
      </c>
      <c r="N80" s="15">
        <v>162.100527402788</v>
      </c>
      <c r="O80" s="15">
        <v>13.492871280163399</v>
      </c>
      <c r="P80" s="10">
        <v>0.83</v>
      </c>
      <c r="Q80" s="15">
        <v>-4.2888589248537496E-3</v>
      </c>
      <c r="R80" s="15" t="s">
        <v>12</v>
      </c>
      <c r="S80" s="15" t="s">
        <v>12</v>
      </c>
      <c r="T80" s="15" t="s">
        <v>125</v>
      </c>
      <c r="U80" s="15" t="s">
        <v>125</v>
      </c>
      <c r="V80" s="15"/>
      <c r="W80" s="15"/>
      <c r="X80" s="15"/>
      <c r="Y80" s="15"/>
      <c r="Z80" s="15"/>
    </row>
    <row r="81" spans="1:26" x14ac:dyDescent="0.15">
      <c r="A81" s="4">
        <v>2015</v>
      </c>
      <c r="B81" s="4" t="s">
        <v>5</v>
      </c>
      <c r="C81" s="11">
        <v>493.89623127583502</v>
      </c>
      <c r="D81" s="11">
        <v>509.99385420925103</v>
      </c>
      <c r="E81" s="11">
        <v>502.90055980855902</v>
      </c>
      <c r="F81" s="12">
        <v>57.479633975525601</v>
      </c>
      <c r="G81" s="12" t="s">
        <v>12</v>
      </c>
      <c r="H81" s="12" t="s">
        <v>12</v>
      </c>
      <c r="I81" s="12" t="s">
        <v>12</v>
      </c>
      <c r="J81" s="12" t="s">
        <v>12</v>
      </c>
      <c r="K81" s="12">
        <v>4.3351604113384798</v>
      </c>
      <c r="L81" s="12">
        <v>3.8441503439737601</v>
      </c>
      <c r="M81" s="12">
        <v>4.2906235144161498</v>
      </c>
      <c r="N81" s="12">
        <v>173.48078665969001</v>
      </c>
      <c r="O81" s="12">
        <v>13.135529194969401</v>
      </c>
      <c r="P81" s="13">
        <v>0.95</v>
      </c>
      <c r="Q81" s="12">
        <v>-0.12495262989150401</v>
      </c>
      <c r="R81" s="12" t="s">
        <v>12</v>
      </c>
      <c r="S81" s="12" t="s">
        <v>12</v>
      </c>
      <c r="T81" s="12">
        <v>0</v>
      </c>
      <c r="U81" s="12" t="s">
        <v>130</v>
      </c>
      <c r="V81" s="12"/>
      <c r="W81" s="12"/>
      <c r="X81" s="12"/>
      <c r="Y81" s="12"/>
      <c r="Z81" s="12"/>
    </row>
    <row r="82" spans="1:26" x14ac:dyDescent="0.15">
      <c r="A82" s="5">
        <v>2015</v>
      </c>
      <c r="B82" s="5" t="s">
        <v>6</v>
      </c>
      <c r="C82" s="14">
        <v>496.74227394757099</v>
      </c>
      <c r="D82" s="14">
        <v>495.03748637970602</v>
      </c>
      <c r="E82" s="14">
        <v>484.865597140278</v>
      </c>
      <c r="F82" s="15">
        <v>51.331178394277302</v>
      </c>
      <c r="G82" s="15" t="s">
        <v>12</v>
      </c>
      <c r="H82" s="15" t="s">
        <v>12</v>
      </c>
      <c r="I82" s="15" t="s">
        <v>12</v>
      </c>
      <c r="J82" s="15" t="s">
        <v>12</v>
      </c>
      <c r="K82" s="15">
        <v>2.8426631451581601</v>
      </c>
      <c r="L82" s="15">
        <v>5.7753644359292897</v>
      </c>
      <c r="M82" s="15">
        <v>2.8455197174859901</v>
      </c>
      <c r="N82" s="15">
        <v>135.57480241790901</v>
      </c>
      <c r="O82" s="15">
        <v>11.731096198391199</v>
      </c>
      <c r="P82" s="10">
        <v>0.84</v>
      </c>
      <c r="Q82" s="15">
        <v>0.44256877658347499</v>
      </c>
      <c r="R82" s="15" t="s">
        <v>12</v>
      </c>
      <c r="S82" s="15" t="s">
        <v>12</v>
      </c>
      <c r="T82" s="15">
        <v>30.5</v>
      </c>
      <c r="U82" s="15" t="s">
        <v>127</v>
      </c>
      <c r="V82" s="15"/>
      <c r="W82" s="15"/>
      <c r="X82" s="15"/>
      <c r="Y82" s="15"/>
      <c r="Z82" s="15"/>
    </row>
    <row r="83" spans="1:26" x14ac:dyDescent="0.15">
      <c r="A83" s="4">
        <v>2015</v>
      </c>
      <c r="B83" s="4" t="s">
        <v>7</v>
      </c>
      <c r="C83" s="11">
        <v>506.98436237796602</v>
      </c>
      <c r="D83" s="11">
        <v>501.99971368116599</v>
      </c>
      <c r="E83" s="11">
        <v>498.52418918572801</v>
      </c>
      <c r="F83" s="12">
        <v>52.706326057829799</v>
      </c>
      <c r="G83" s="12" t="s">
        <v>12</v>
      </c>
      <c r="H83" s="12" t="s">
        <v>12</v>
      </c>
      <c r="I83" s="12"/>
      <c r="J83" s="12" t="s">
        <v>12</v>
      </c>
      <c r="K83" s="12">
        <v>4.0832328372651503</v>
      </c>
      <c r="L83" s="12">
        <v>3.5027988545671498</v>
      </c>
      <c r="M83" s="12">
        <v>4.13776405925252</v>
      </c>
      <c r="N83" s="12">
        <v>129.32791333465801</v>
      </c>
      <c r="O83" s="12">
        <v>9.1205820251299006</v>
      </c>
      <c r="P83" s="13">
        <v>0.85</v>
      </c>
      <c r="Q83" s="12">
        <v>1.3958726711530299E-2</v>
      </c>
      <c r="R83" s="12" t="s">
        <v>12</v>
      </c>
      <c r="S83" s="12" t="s">
        <v>12</v>
      </c>
      <c r="T83" s="12">
        <v>27.7</v>
      </c>
      <c r="U83" s="12" t="s">
        <v>127</v>
      </c>
      <c r="V83" s="12"/>
      <c r="W83" s="12"/>
      <c r="X83" s="12"/>
      <c r="Y83" s="12"/>
      <c r="Z83" s="12"/>
    </row>
    <row r="84" spans="1:26" x14ac:dyDescent="0.15">
      <c r="A84" s="5">
        <v>2015</v>
      </c>
      <c r="B84" s="5" t="s">
        <v>8</v>
      </c>
      <c r="C84" s="14">
        <v>515.64742796862197</v>
      </c>
      <c r="D84" s="14">
        <v>527.70468418283303</v>
      </c>
      <c r="E84" s="14">
        <v>526.66780542068796</v>
      </c>
      <c r="F84" s="15">
        <v>58.064489652140701</v>
      </c>
      <c r="G84" s="15" t="s">
        <v>12</v>
      </c>
      <c r="H84" s="15" t="s">
        <v>12</v>
      </c>
      <c r="I84" s="15" t="s">
        <v>12</v>
      </c>
      <c r="J84" s="15" t="s">
        <v>12</v>
      </c>
      <c r="K84" s="15">
        <v>4.0314828592350596</v>
      </c>
      <c r="L84" s="15">
        <v>3.9429085145097198</v>
      </c>
      <c r="M84" s="15">
        <v>4.2257220265876496</v>
      </c>
      <c r="N84" s="15">
        <v>226.53325202494301</v>
      </c>
      <c r="O84" s="15">
        <v>15.9418741201501</v>
      </c>
      <c r="P84" s="10">
        <v>0.95</v>
      </c>
      <c r="Q84" s="15">
        <v>-0.11249825925669001</v>
      </c>
      <c r="R84" s="15" t="s">
        <v>12</v>
      </c>
      <c r="S84" s="15" t="s">
        <v>12</v>
      </c>
      <c r="T84" s="15">
        <v>33.700000000000003</v>
      </c>
      <c r="U84" s="15" t="s">
        <v>128</v>
      </c>
      <c r="V84" s="15"/>
      <c r="W84" s="15"/>
      <c r="X84" s="15"/>
      <c r="Y84" s="15"/>
      <c r="Z84" s="15"/>
    </row>
    <row r="85" spans="1:26" x14ac:dyDescent="0.15">
      <c r="A85" s="4">
        <v>2015</v>
      </c>
      <c r="B85" s="4" t="s">
        <v>9</v>
      </c>
      <c r="C85" s="11">
        <v>422.67135789264699</v>
      </c>
      <c r="D85" s="11">
        <v>446.95606636417398</v>
      </c>
      <c r="E85" s="11">
        <v>458.57087611457803</v>
      </c>
      <c r="F85" s="12">
        <v>44.582644336623801</v>
      </c>
      <c r="G85" s="12" t="s">
        <v>12</v>
      </c>
      <c r="H85" s="12" t="s">
        <v>12</v>
      </c>
      <c r="I85" s="12">
        <v>0.206174533596967</v>
      </c>
      <c r="J85" s="12" t="s">
        <v>12</v>
      </c>
      <c r="K85" s="12">
        <v>6.7672065209186698</v>
      </c>
      <c r="L85" s="12">
        <v>5.5707061664293303</v>
      </c>
      <c r="M85" s="12">
        <v>6.3404201492165804</v>
      </c>
      <c r="N85" s="12">
        <v>140.127213338085</v>
      </c>
      <c r="O85" s="12">
        <v>20.7428589336347</v>
      </c>
      <c r="P85" s="13">
        <v>0.21</v>
      </c>
      <c r="Q85" s="12">
        <v>-3.5440094342720101E-2</v>
      </c>
      <c r="R85" s="12" t="s">
        <v>12</v>
      </c>
      <c r="S85" s="12" t="s">
        <v>12</v>
      </c>
      <c r="T85" s="12">
        <v>45.3</v>
      </c>
      <c r="U85" s="12" t="s">
        <v>131</v>
      </c>
      <c r="V85" s="12"/>
      <c r="W85" s="12"/>
      <c r="X85" s="12"/>
      <c r="Y85" s="12"/>
      <c r="Z85" s="12"/>
    </row>
    <row r="86" spans="1:26" x14ac:dyDescent="0.15">
      <c r="A86" s="5">
        <v>2015</v>
      </c>
      <c r="B86" s="5" t="s">
        <v>10</v>
      </c>
      <c r="C86" s="14">
        <v>389.64382784956803</v>
      </c>
      <c r="D86" s="14">
        <v>415.728760576794</v>
      </c>
      <c r="E86" s="14">
        <v>424.90516701641701</v>
      </c>
      <c r="F86" s="15">
        <v>42.556107136157003</v>
      </c>
      <c r="G86" s="15" t="s">
        <v>12</v>
      </c>
      <c r="H86" s="15" t="s">
        <v>12</v>
      </c>
      <c r="I86" s="15" t="s">
        <v>12</v>
      </c>
      <c r="J86" s="15" t="s">
        <v>12</v>
      </c>
      <c r="K86" s="15">
        <v>3.8365047065844999</v>
      </c>
      <c r="L86" s="15">
        <v>3.48047442117731</v>
      </c>
      <c r="M86" s="15">
        <v>3.51371669664382</v>
      </c>
      <c r="N86" s="15">
        <v>113.061395469128</v>
      </c>
      <c r="O86" s="15">
        <v>28.450774008012999</v>
      </c>
      <c r="P86" s="10">
        <v>0.1</v>
      </c>
      <c r="Q86" s="15">
        <v>-0.30931833591403601</v>
      </c>
      <c r="R86" s="15" t="s">
        <v>12</v>
      </c>
      <c r="S86" s="15" t="s">
        <v>12</v>
      </c>
      <c r="T86" s="15" t="s">
        <v>125</v>
      </c>
      <c r="U86" s="15" t="s">
        <v>131</v>
      </c>
      <c r="V86" s="15"/>
      <c r="W86" s="15"/>
      <c r="X86" s="15"/>
      <c r="Y86" s="15"/>
      <c r="Z86" s="15"/>
    </row>
    <row r="87" spans="1:26" x14ac:dyDescent="0.15">
      <c r="A87" s="4">
        <v>2015</v>
      </c>
      <c r="B87" s="4" t="s">
        <v>11</v>
      </c>
      <c r="C87" s="11">
        <v>400.25337289933998</v>
      </c>
      <c r="D87" s="11">
        <v>419.608033064258</v>
      </c>
      <c r="E87" s="11">
        <v>427.48754820691403</v>
      </c>
      <c r="F87" s="12">
        <v>45.237106516853203</v>
      </c>
      <c r="G87" s="12" t="s">
        <v>12</v>
      </c>
      <c r="H87" s="12" t="s">
        <v>12</v>
      </c>
      <c r="I87" s="12" t="s">
        <v>12</v>
      </c>
      <c r="J87" s="12" t="s">
        <v>12</v>
      </c>
      <c r="K87" s="12">
        <v>5.0416390093724797</v>
      </c>
      <c r="L87" s="12">
        <v>5.5589778303734398</v>
      </c>
      <c r="M87" s="12">
        <v>4.6641943779942103</v>
      </c>
      <c r="N87" s="12">
        <v>144.428814620461</v>
      </c>
      <c r="O87" s="12">
        <v>16.934701932263302</v>
      </c>
      <c r="P87" s="13">
        <v>0.88</v>
      </c>
      <c r="Q87" s="12">
        <v>-0.15763545077526001</v>
      </c>
      <c r="R87" s="12" t="s">
        <v>12</v>
      </c>
      <c r="S87" s="12" t="s">
        <v>12</v>
      </c>
      <c r="T87" s="12" t="s">
        <v>125</v>
      </c>
      <c r="U87" s="12" t="s">
        <v>128</v>
      </c>
      <c r="V87" s="12"/>
      <c r="W87" s="12"/>
      <c r="X87" s="12"/>
      <c r="Y87" s="12"/>
      <c r="Z87" s="12"/>
    </row>
    <row r="88" spans="1:26" x14ac:dyDescent="0.15">
      <c r="A88" s="5">
        <v>2015</v>
      </c>
      <c r="B88" s="5" t="s">
        <v>13</v>
      </c>
      <c r="C88" s="14">
        <v>492.32543802363699</v>
      </c>
      <c r="D88" s="14">
        <v>492.83004832869398</v>
      </c>
      <c r="E88" s="14">
        <v>487.25014126560899</v>
      </c>
      <c r="F88" s="15">
        <v>47.533651684034403</v>
      </c>
      <c r="G88" s="15" t="s">
        <v>12</v>
      </c>
      <c r="H88" s="15" t="s">
        <v>12</v>
      </c>
      <c r="I88" s="15" t="s">
        <v>12</v>
      </c>
      <c r="J88" s="15" t="s">
        <v>12</v>
      </c>
      <c r="K88" s="15">
        <v>4.1247571326929604</v>
      </c>
      <c r="L88" s="15">
        <v>5.4701563351754796</v>
      </c>
      <c r="M88" s="15">
        <v>4.0838480629701603</v>
      </c>
      <c r="N88" s="15">
        <v>77.795186112221998</v>
      </c>
      <c r="O88" s="15">
        <v>13.3375635113683</v>
      </c>
      <c r="P88" s="10">
        <v>0.93</v>
      </c>
      <c r="Q88" s="15">
        <v>-0.24638287230953099</v>
      </c>
      <c r="R88" s="15" t="s">
        <v>12</v>
      </c>
      <c r="S88" s="15" t="s">
        <v>12</v>
      </c>
      <c r="T88" s="15">
        <v>25.9</v>
      </c>
      <c r="U88" s="15" t="s">
        <v>127</v>
      </c>
      <c r="V88" s="15"/>
      <c r="W88" s="15"/>
      <c r="X88" s="15"/>
      <c r="Y88" s="15"/>
      <c r="Z88" s="15"/>
    </row>
    <row r="89" spans="1:26" x14ac:dyDescent="0.15">
      <c r="A89" s="4">
        <v>2015</v>
      </c>
      <c r="B89" s="4" t="s">
        <v>14</v>
      </c>
      <c r="C89" s="11">
        <v>511.08763183479101</v>
      </c>
      <c r="D89" s="11">
        <v>501.936886977413</v>
      </c>
      <c r="E89" s="11">
        <v>499.81458410251298</v>
      </c>
      <c r="F89" s="12">
        <v>56.202913715077202</v>
      </c>
      <c r="G89" s="12" t="s">
        <v>12</v>
      </c>
      <c r="H89" s="12" t="s">
        <v>12</v>
      </c>
      <c r="I89" s="12" t="s">
        <v>12</v>
      </c>
      <c r="J89" s="12" t="s">
        <v>12</v>
      </c>
      <c r="K89" s="12">
        <v>5.0523837097427799</v>
      </c>
      <c r="L89" s="12">
        <v>4.1843282811593401</v>
      </c>
      <c r="M89" s="12">
        <v>6.7357728596619602</v>
      </c>
      <c r="N89" s="12">
        <v>59.562245727858397</v>
      </c>
      <c r="O89" s="12">
        <v>12.7202223436623</v>
      </c>
      <c r="P89" s="13" t="s">
        <v>12</v>
      </c>
      <c r="Q89" s="12">
        <v>0.14176352585527599</v>
      </c>
      <c r="R89" s="12" t="s">
        <v>12</v>
      </c>
      <c r="S89" s="12" t="s">
        <v>12</v>
      </c>
      <c r="T89" s="12">
        <v>28.2</v>
      </c>
      <c r="U89" s="12" t="s">
        <v>127</v>
      </c>
      <c r="V89" s="12"/>
      <c r="W89" s="12"/>
      <c r="X89" s="12"/>
      <c r="Y89" s="12"/>
      <c r="Z89" s="12"/>
    </row>
    <row r="90" spans="1:26" x14ac:dyDescent="0.15">
      <c r="A90" s="5">
        <v>2015</v>
      </c>
      <c r="B90" s="5" t="s">
        <v>15</v>
      </c>
      <c r="C90" s="14">
        <v>519.52913230813999</v>
      </c>
      <c r="D90" s="14">
        <v>534.19374207720296</v>
      </c>
      <c r="E90" s="14">
        <v>519.14285500090102</v>
      </c>
      <c r="F90" s="15">
        <v>52.321571977349699</v>
      </c>
      <c r="G90" s="15" t="s">
        <v>12</v>
      </c>
      <c r="H90" s="15" t="s">
        <v>12</v>
      </c>
      <c r="I90" s="15" t="s">
        <v>12</v>
      </c>
      <c r="J90" s="15" t="s">
        <v>12</v>
      </c>
      <c r="K90" s="15">
        <v>4.6794046098834796</v>
      </c>
      <c r="L90" s="15">
        <v>4.8277768803996102</v>
      </c>
      <c r="M90" s="15">
        <v>4.1954195522634397</v>
      </c>
      <c r="N90" s="15">
        <v>53.3142063654672</v>
      </c>
      <c r="O90" s="15">
        <v>11.8804799529146</v>
      </c>
      <c r="P90" s="10">
        <v>0.89</v>
      </c>
      <c r="Q90" s="15">
        <v>-6.2700866025942006E-2</v>
      </c>
      <c r="R90" s="15" t="s">
        <v>12</v>
      </c>
      <c r="S90" s="15" t="s">
        <v>12</v>
      </c>
      <c r="T90" s="15">
        <v>32.700000000000003</v>
      </c>
      <c r="U90" s="15" t="s">
        <v>127</v>
      </c>
      <c r="V90" s="15"/>
      <c r="W90" s="15"/>
      <c r="X90" s="15"/>
      <c r="Y90" s="15"/>
      <c r="Z90" s="15"/>
    </row>
    <row r="91" spans="1:26" x14ac:dyDescent="0.15">
      <c r="A91" s="4">
        <v>2015</v>
      </c>
      <c r="B91" s="4" t="s">
        <v>16</v>
      </c>
      <c r="C91" s="11">
        <v>511.076852960152</v>
      </c>
      <c r="D91" s="11">
        <v>530.66115886094599</v>
      </c>
      <c r="E91" s="11">
        <v>526.42474708611996</v>
      </c>
      <c r="F91" s="12">
        <v>52.962594626885597</v>
      </c>
      <c r="G91" s="12" t="s">
        <v>12</v>
      </c>
      <c r="H91" s="12" t="s">
        <v>12</v>
      </c>
      <c r="I91" s="12" t="s">
        <v>12</v>
      </c>
      <c r="J91" s="12" t="s">
        <v>12</v>
      </c>
      <c r="K91" s="12">
        <v>3.6299533355230502</v>
      </c>
      <c r="L91" s="12">
        <v>3.5882757421138902</v>
      </c>
      <c r="M91" s="12">
        <v>3.1504647656688398</v>
      </c>
      <c r="N91" s="12">
        <v>111.13639726099299</v>
      </c>
      <c r="O91" s="12">
        <v>10.297194423126999</v>
      </c>
      <c r="P91" s="13">
        <v>0.93</v>
      </c>
      <c r="Q91" s="12">
        <v>9.1093825672071804E-2</v>
      </c>
      <c r="R91" s="12" t="s">
        <v>12</v>
      </c>
      <c r="S91" s="12" t="s">
        <v>12</v>
      </c>
      <c r="T91" s="12">
        <v>27.1</v>
      </c>
      <c r="U91" s="12" t="s">
        <v>127</v>
      </c>
      <c r="V91" s="12"/>
      <c r="W91" s="12"/>
      <c r="X91" s="12"/>
      <c r="Y91" s="12"/>
      <c r="Z91" s="12"/>
    </row>
    <row r="92" spans="1:26" x14ac:dyDescent="0.15">
      <c r="A92" s="5">
        <v>2015</v>
      </c>
      <c r="B92" s="5" t="s">
        <v>17</v>
      </c>
      <c r="C92" s="14">
        <v>492.92040179419001</v>
      </c>
      <c r="D92" s="14">
        <v>494.97760037200499</v>
      </c>
      <c r="E92" s="14">
        <v>499.30614190209502</v>
      </c>
      <c r="F92" s="15">
        <v>51.308749358400902</v>
      </c>
      <c r="G92" s="15" t="s">
        <v>12</v>
      </c>
      <c r="H92" s="15" t="s">
        <v>12</v>
      </c>
      <c r="I92" s="15">
        <v>-5.2441179406361303E-2</v>
      </c>
      <c r="J92" s="15" t="s">
        <v>12</v>
      </c>
      <c r="K92" s="15">
        <v>3.8713708509366</v>
      </c>
      <c r="L92" s="15">
        <v>3.2283583663413</v>
      </c>
      <c r="M92" s="15">
        <v>4.06852020905204</v>
      </c>
      <c r="N92" s="15">
        <v>253.18383062271599</v>
      </c>
      <c r="O92" s="15">
        <v>12.340552005607501</v>
      </c>
      <c r="P92" s="10">
        <v>0.78</v>
      </c>
      <c r="Q92" s="15">
        <v>-5.9411392633774297E-2</v>
      </c>
      <c r="R92" s="15" t="s">
        <v>12</v>
      </c>
      <c r="S92" s="15" t="s">
        <v>12</v>
      </c>
      <c r="T92" s="15">
        <v>32.700000000000003</v>
      </c>
      <c r="U92" s="15" t="s">
        <v>127</v>
      </c>
      <c r="V92" s="15"/>
      <c r="W92" s="15"/>
      <c r="X92" s="15"/>
      <c r="Y92" s="15"/>
      <c r="Z92" s="15"/>
    </row>
    <row r="93" spans="1:26" x14ac:dyDescent="0.15">
      <c r="A93" s="4">
        <v>2015</v>
      </c>
      <c r="B93" s="4" t="s">
        <v>18</v>
      </c>
      <c r="C93" s="11">
        <v>505.971282413447</v>
      </c>
      <c r="D93" s="11">
        <v>509.14064717477999</v>
      </c>
      <c r="E93" s="11">
        <v>509.10413866880702</v>
      </c>
      <c r="F93" s="12">
        <v>51.503170307199703</v>
      </c>
      <c r="G93" s="12" t="s">
        <v>12</v>
      </c>
      <c r="H93" s="12" t="s">
        <v>12</v>
      </c>
      <c r="I93" s="12">
        <v>8.9575858730718702E-2</v>
      </c>
      <c r="J93" s="12" t="s">
        <v>12</v>
      </c>
      <c r="K93" s="12">
        <v>4.03362327895635</v>
      </c>
      <c r="L93" s="12">
        <v>4.6796939163955802</v>
      </c>
      <c r="M93" s="12">
        <v>4.1710219457038802</v>
      </c>
      <c r="N93" s="12">
        <v>105.888705878951</v>
      </c>
      <c r="O93" s="12">
        <v>14.666389690688201</v>
      </c>
      <c r="P93" s="13">
        <v>0.88</v>
      </c>
      <c r="Q93" s="12">
        <v>0.28791762126030102</v>
      </c>
      <c r="R93" s="12" t="s">
        <v>12</v>
      </c>
      <c r="S93" s="12" t="s">
        <v>12</v>
      </c>
      <c r="T93" s="12">
        <v>31.7</v>
      </c>
      <c r="U93" s="12" t="s">
        <v>127</v>
      </c>
      <c r="V93" s="12"/>
      <c r="W93" s="12"/>
      <c r="X93" s="12"/>
      <c r="Y93" s="12"/>
      <c r="Z93" s="12"/>
    </row>
    <row r="94" spans="1:26" x14ac:dyDescent="0.15">
      <c r="A94" s="5">
        <v>2015</v>
      </c>
      <c r="B94" s="5" t="s">
        <v>19</v>
      </c>
      <c r="C94" s="14">
        <v>453.62985069574103</v>
      </c>
      <c r="D94" s="14">
        <v>454.82881659483502</v>
      </c>
      <c r="E94" s="14">
        <v>467.03953791180999</v>
      </c>
      <c r="F94" s="15">
        <v>50.010886851437398</v>
      </c>
      <c r="G94" s="15" t="s">
        <v>12</v>
      </c>
      <c r="H94" s="15" t="s">
        <v>12</v>
      </c>
      <c r="I94" s="15" t="s">
        <v>12</v>
      </c>
      <c r="J94" s="15" t="s">
        <v>12</v>
      </c>
      <c r="K94" s="15">
        <v>4.5669488503891502</v>
      </c>
      <c r="L94" s="15">
        <v>5.03618869843553</v>
      </c>
      <c r="M94" s="15">
        <v>3.6223045823293099</v>
      </c>
      <c r="N94" s="15">
        <v>90.7088275942763</v>
      </c>
      <c r="O94" s="15">
        <v>9.5831049124683005</v>
      </c>
      <c r="P94" s="10">
        <v>0.87</v>
      </c>
      <c r="Q94" s="15">
        <v>0.100258991275799</v>
      </c>
      <c r="R94" s="15" t="s">
        <v>12</v>
      </c>
      <c r="S94" s="15" t="s">
        <v>12</v>
      </c>
      <c r="T94" s="15">
        <v>36</v>
      </c>
      <c r="U94" s="15" t="s">
        <v>127</v>
      </c>
      <c r="V94" s="15"/>
      <c r="W94" s="15"/>
      <c r="X94" s="15"/>
      <c r="Y94" s="15"/>
      <c r="Z94" s="15"/>
    </row>
    <row r="95" spans="1:26" x14ac:dyDescent="0.15">
      <c r="A95" s="4">
        <v>2015</v>
      </c>
      <c r="B95" s="4" t="s">
        <v>20</v>
      </c>
      <c r="C95" s="11">
        <v>476.830880844202</v>
      </c>
      <c r="D95" s="11">
        <v>476.74751240428702</v>
      </c>
      <c r="E95" s="11">
        <v>469.523257871731</v>
      </c>
      <c r="F95" s="12">
        <v>47.577021392919697</v>
      </c>
      <c r="G95" s="12" t="s">
        <v>12</v>
      </c>
      <c r="H95" s="12" t="s">
        <v>12</v>
      </c>
      <c r="I95" s="12" t="s">
        <v>12</v>
      </c>
      <c r="J95" s="12" t="s">
        <v>12</v>
      </c>
      <c r="K95" s="12">
        <v>3.4120522430136502</v>
      </c>
      <c r="L95" s="12">
        <v>4.15207534054659</v>
      </c>
      <c r="M95" s="12">
        <v>3.62509783505085</v>
      </c>
      <c r="N95" s="12">
        <v>108.11343873188299</v>
      </c>
      <c r="O95" s="12">
        <v>9.8596896637800793</v>
      </c>
      <c r="P95" s="13" t="s">
        <v>12</v>
      </c>
      <c r="Q95" s="12">
        <v>6.0062884217977203E-2</v>
      </c>
      <c r="R95" s="12" t="s">
        <v>12</v>
      </c>
      <c r="S95" s="12" t="s">
        <v>12</v>
      </c>
      <c r="T95" s="12">
        <v>30.4</v>
      </c>
      <c r="U95" s="12" t="s">
        <v>127</v>
      </c>
      <c r="V95" s="12"/>
      <c r="W95" s="12"/>
      <c r="X95" s="12"/>
      <c r="Y95" s="12"/>
      <c r="Z95" s="12"/>
    </row>
    <row r="96" spans="1:26" x14ac:dyDescent="0.15">
      <c r="A96" s="5">
        <v>2015</v>
      </c>
      <c r="B96" s="5" t="s">
        <v>21</v>
      </c>
      <c r="C96" s="14">
        <v>488.03318437567901</v>
      </c>
      <c r="D96" s="14">
        <v>473.23008619733201</v>
      </c>
      <c r="E96" s="14">
        <v>481.52554099327199</v>
      </c>
      <c r="F96" s="15">
        <v>60.408808299301</v>
      </c>
      <c r="G96" s="15" t="s">
        <v>12</v>
      </c>
      <c r="H96" s="15" t="s">
        <v>12</v>
      </c>
      <c r="I96" s="15" t="s">
        <v>12</v>
      </c>
      <c r="J96" s="15" t="s">
        <v>12</v>
      </c>
      <c r="K96" s="15">
        <v>5.1999595006581298</v>
      </c>
      <c r="L96" s="15">
        <v>3.04146220757888</v>
      </c>
      <c r="M96" s="15">
        <v>5.28807427147947</v>
      </c>
      <c r="N96" s="15">
        <v>56.050827243332897</v>
      </c>
      <c r="O96" s="15">
        <v>9.9121137472618503</v>
      </c>
      <c r="P96" s="10">
        <v>0.86</v>
      </c>
      <c r="Q96" s="15">
        <v>0.19424909705981699</v>
      </c>
      <c r="R96" s="15" t="s">
        <v>12</v>
      </c>
      <c r="S96" s="15" t="s">
        <v>12</v>
      </c>
      <c r="T96" s="15">
        <v>26.8</v>
      </c>
      <c r="U96" s="15" t="s">
        <v>127</v>
      </c>
      <c r="V96" s="15"/>
      <c r="W96" s="15"/>
      <c r="X96" s="15"/>
      <c r="Y96" s="15"/>
      <c r="Z96" s="15"/>
    </row>
    <row r="97" spans="1:26" x14ac:dyDescent="0.15">
      <c r="A97" s="4">
        <v>2015</v>
      </c>
      <c r="B97" s="4" t="s">
        <v>22</v>
      </c>
      <c r="C97" s="11">
        <v>503.72199741628901</v>
      </c>
      <c r="D97" s="11">
        <v>502.57511548882098</v>
      </c>
      <c r="E97" s="11">
        <v>520.81484125269299</v>
      </c>
      <c r="F97" s="12">
        <v>52.834752101223799</v>
      </c>
      <c r="G97" s="12" t="s">
        <v>12</v>
      </c>
      <c r="H97" s="12" t="s">
        <v>12</v>
      </c>
      <c r="I97" s="12">
        <v>-0.159968047472618</v>
      </c>
      <c r="J97" s="12" t="s">
        <v>12</v>
      </c>
      <c r="K97" s="12">
        <v>4.7642604611145103</v>
      </c>
      <c r="L97" s="12">
        <v>3.6047542352734401</v>
      </c>
      <c r="M97" s="12">
        <v>4.5671455070589602</v>
      </c>
      <c r="N97" s="12">
        <v>110.69645714322399</v>
      </c>
      <c r="O97" s="12">
        <v>14.447486101259701</v>
      </c>
      <c r="P97" s="13">
        <v>0.98</v>
      </c>
      <c r="Q97" s="12">
        <v>-1.51040341607138E-2</v>
      </c>
      <c r="R97" s="12" t="s">
        <v>12</v>
      </c>
      <c r="S97" s="12" t="s">
        <v>12</v>
      </c>
      <c r="T97" s="12">
        <v>31.8</v>
      </c>
      <c r="U97" s="12" t="s">
        <v>127</v>
      </c>
      <c r="V97" s="12"/>
      <c r="W97" s="12"/>
      <c r="X97" s="12"/>
      <c r="Y97" s="12"/>
      <c r="Z97" s="12"/>
    </row>
    <row r="98" spans="1:26" x14ac:dyDescent="0.15">
      <c r="A98" s="5">
        <v>2015</v>
      </c>
      <c r="B98" s="5" t="s">
        <v>23</v>
      </c>
      <c r="C98" s="14">
        <v>469.66945406512002</v>
      </c>
      <c r="D98" s="14">
        <v>466.55281218923</v>
      </c>
      <c r="E98" s="14">
        <v>478.96064266007699</v>
      </c>
      <c r="F98" s="15">
        <v>59.8477637926296</v>
      </c>
      <c r="G98" s="15" t="s">
        <v>12</v>
      </c>
      <c r="H98" s="15" t="s">
        <v>12</v>
      </c>
      <c r="I98" s="15" t="s">
        <v>12</v>
      </c>
      <c r="J98" s="15" t="s">
        <v>12</v>
      </c>
      <c r="K98" s="15">
        <v>5.1265309750530896</v>
      </c>
      <c r="L98" s="15">
        <v>4.3894907466925597</v>
      </c>
      <c r="M98" s="15">
        <v>4.1704117704744998</v>
      </c>
      <c r="N98" s="15">
        <v>169.29025535789299</v>
      </c>
      <c r="O98" s="15">
        <v>11.5558128867264</v>
      </c>
      <c r="P98" s="10">
        <v>0.74</v>
      </c>
      <c r="Q98" s="15" t="s">
        <v>12</v>
      </c>
      <c r="R98" s="15" t="s">
        <v>12</v>
      </c>
      <c r="S98" s="15" t="s">
        <v>12</v>
      </c>
      <c r="T98" s="15">
        <v>39.700000000000003</v>
      </c>
      <c r="U98" s="15" t="s">
        <v>132</v>
      </c>
      <c r="V98" s="15"/>
      <c r="W98" s="15"/>
      <c r="X98" s="15"/>
      <c r="Y98" s="15"/>
      <c r="Z98" s="15"/>
    </row>
    <row r="99" spans="1:26" x14ac:dyDescent="0.15">
      <c r="A99" s="4">
        <v>2015</v>
      </c>
      <c r="B99" s="4" t="s">
        <v>24</v>
      </c>
      <c r="C99" s="11">
        <v>489.72873084112098</v>
      </c>
      <c r="D99" s="11">
        <v>480.54676241081899</v>
      </c>
      <c r="E99" s="11">
        <v>484.75799607622002</v>
      </c>
      <c r="F99" s="12">
        <v>49.651665627949598</v>
      </c>
      <c r="G99" s="12" t="s">
        <v>12</v>
      </c>
      <c r="H99" s="12" t="s">
        <v>12</v>
      </c>
      <c r="I99" s="12">
        <v>0.23481033095541401</v>
      </c>
      <c r="J99" s="12" t="s">
        <v>12</v>
      </c>
      <c r="K99" s="12">
        <v>3.9909050423360699</v>
      </c>
      <c r="L99" s="12">
        <v>2.70622509406099</v>
      </c>
      <c r="M99" s="12">
        <v>4.8572297187223201</v>
      </c>
      <c r="N99" s="12">
        <v>185.88588780725601</v>
      </c>
      <c r="O99" s="12">
        <v>10.495094223167801</v>
      </c>
      <c r="P99" s="13">
        <v>0.88</v>
      </c>
      <c r="Q99" s="12">
        <v>5.2222952900757298E-2</v>
      </c>
      <c r="R99" s="12" t="s">
        <v>12</v>
      </c>
      <c r="S99" s="12" t="s">
        <v>12</v>
      </c>
      <c r="T99" s="12">
        <v>35.4</v>
      </c>
      <c r="U99" s="12" t="s">
        <v>127</v>
      </c>
      <c r="V99" s="12"/>
      <c r="W99" s="12"/>
      <c r="X99" s="12"/>
      <c r="Y99" s="12"/>
      <c r="Z99" s="12"/>
    </row>
    <row r="100" spans="1:26" x14ac:dyDescent="0.15">
      <c r="A100" s="5">
        <v>2015</v>
      </c>
      <c r="B100" s="5" t="s">
        <v>25</v>
      </c>
      <c r="C100" s="14">
        <v>532.43987221639497</v>
      </c>
      <c r="D100" s="14">
        <v>538.39475105449196</v>
      </c>
      <c r="E100" s="14">
        <v>515.958479907217</v>
      </c>
      <c r="F100" s="15">
        <v>50.590243925628997</v>
      </c>
      <c r="G100" s="15" t="s">
        <v>12</v>
      </c>
      <c r="H100" s="15" t="s">
        <v>12</v>
      </c>
      <c r="I100" s="15" t="s">
        <v>12</v>
      </c>
      <c r="J100" s="15" t="s">
        <v>12</v>
      </c>
      <c r="K100" s="15">
        <v>4.7458763771894601</v>
      </c>
      <c r="L100" s="15">
        <v>3.4365727655940401</v>
      </c>
      <c r="M100" s="15">
        <v>4.3451979538700698</v>
      </c>
      <c r="N100" s="15">
        <v>259.616930434712</v>
      </c>
      <c r="O100" s="15">
        <v>11.5192729469158</v>
      </c>
      <c r="P100" s="10">
        <v>0.97</v>
      </c>
      <c r="Q100" s="15">
        <v>-3.3182288945748803E-2</v>
      </c>
      <c r="R100" s="15" t="s">
        <v>12</v>
      </c>
      <c r="S100" s="15" t="s">
        <v>12</v>
      </c>
      <c r="T100" s="15">
        <v>30.7</v>
      </c>
      <c r="U100" s="15" t="s">
        <v>129</v>
      </c>
      <c r="V100" s="15"/>
      <c r="W100" s="15"/>
      <c r="X100" s="15"/>
      <c r="Y100" s="15"/>
      <c r="Z100" s="15"/>
    </row>
    <row r="101" spans="1:26" x14ac:dyDescent="0.15">
      <c r="A101" s="4">
        <v>2015</v>
      </c>
      <c r="B101" s="4" t="s">
        <v>26</v>
      </c>
      <c r="C101" s="11">
        <v>524.10621634915196</v>
      </c>
      <c r="D101" s="11">
        <v>515.80991152695105</v>
      </c>
      <c r="E101" s="11">
        <v>517.436709705064</v>
      </c>
      <c r="F101" s="12">
        <v>52.127836626395002</v>
      </c>
      <c r="G101" s="12" t="s">
        <v>12</v>
      </c>
      <c r="H101" s="12" t="s">
        <v>12</v>
      </c>
      <c r="I101" s="12">
        <v>-0.56871166626856995</v>
      </c>
      <c r="J101" s="12" t="s">
        <v>12</v>
      </c>
      <c r="K101" s="12">
        <v>4.2355416344547399</v>
      </c>
      <c r="L101" s="12">
        <v>3.4445038364517502</v>
      </c>
      <c r="M101" s="12">
        <v>4.0434972152024402</v>
      </c>
      <c r="N101" s="12">
        <v>321.06081689278199</v>
      </c>
      <c r="O101" s="12">
        <v>15.0869071081211</v>
      </c>
      <c r="P101" s="13">
        <v>0.95</v>
      </c>
      <c r="Q101" s="12">
        <v>0.15950222746079901</v>
      </c>
      <c r="R101" s="12" t="s">
        <v>12</v>
      </c>
      <c r="S101" s="12" t="s">
        <v>12</v>
      </c>
      <c r="T101" s="12" t="s">
        <v>125</v>
      </c>
      <c r="U101" s="12" t="s">
        <v>129</v>
      </c>
      <c r="V101" s="12"/>
      <c r="W101" s="12"/>
      <c r="X101" s="12"/>
      <c r="Y101" s="12"/>
      <c r="Z101" s="12"/>
    </row>
    <row r="102" spans="1:26" x14ac:dyDescent="0.15">
      <c r="A102" s="5">
        <v>2015</v>
      </c>
      <c r="B102" s="5" t="s">
        <v>27</v>
      </c>
      <c r="C102" s="14">
        <v>482.30507170027403</v>
      </c>
      <c r="D102" s="14">
        <v>490.22501836099002</v>
      </c>
      <c r="E102" s="14">
        <v>487.758098543551</v>
      </c>
      <c r="F102" s="15">
        <v>50.975665706441497</v>
      </c>
      <c r="G102" s="15" t="s">
        <v>12</v>
      </c>
      <c r="H102" s="15" t="s">
        <v>12</v>
      </c>
      <c r="I102" s="15" t="s">
        <v>12</v>
      </c>
      <c r="J102" s="15" t="s">
        <v>12</v>
      </c>
      <c r="K102" s="15">
        <v>5.54718062090926</v>
      </c>
      <c r="L102" s="15">
        <v>6.3213680196712403</v>
      </c>
      <c r="M102" s="15">
        <v>3.8639826216603299</v>
      </c>
      <c r="N102" s="15">
        <v>40.867231949013899</v>
      </c>
      <c r="O102" s="15">
        <v>10.089051007119799</v>
      </c>
      <c r="P102" s="10">
        <v>0.65</v>
      </c>
      <c r="Q102" s="15">
        <v>-0.20130719085450199</v>
      </c>
      <c r="R102" s="15" t="s">
        <v>12</v>
      </c>
      <c r="S102" s="15" t="s">
        <v>12</v>
      </c>
      <c r="T102" s="15">
        <v>34.200000000000003</v>
      </c>
      <c r="U102" s="15" t="s">
        <v>127</v>
      </c>
      <c r="V102" s="15"/>
      <c r="W102" s="15"/>
      <c r="X102" s="15"/>
      <c r="Y102" s="15"/>
      <c r="Z102" s="15"/>
    </row>
    <row r="103" spans="1:26" x14ac:dyDescent="0.15">
      <c r="A103" s="4">
        <v>2015</v>
      </c>
      <c r="B103" s="4" t="s">
        <v>28</v>
      </c>
      <c r="C103" s="11">
        <v>478.38338181624698</v>
      </c>
      <c r="D103" s="11">
        <v>475.40894649576802</v>
      </c>
      <c r="E103" s="11">
        <v>472.406552219942</v>
      </c>
      <c r="F103" s="12">
        <v>51.556582501024302</v>
      </c>
      <c r="G103" s="12" t="s">
        <v>12</v>
      </c>
      <c r="H103" s="12" t="s">
        <v>12</v>
      </c>
      <c r="I103" s="12" t="s">
        <v>12</v>
      </c>
      <c r="J103" s="12" t="s">
        <v>12</v>
      </c>
      <c r="K103" s="12">
        <v>3.8640935759226598</v>
      </c>
      <c r="L103" s="12">
        <v>5.7732848141543203</v>
      </c>
      <c r="M103" s="12">
        <v>4.54597628789951</v>
      </c>
      <c r="N103" s="12">
        <v>91.112042872456499</v>
      </c>
      <c r="O103" s="12">
        <v>10.3921661360645</v>
      </c>
      <c r="P103" s="13">
        <v>0.99</v>
      </c>
      <c r="Q103" s="12">
        <v>-0.26798720344711202</v>
      </c>
      <c r="R103" s="12" t="s">
        <v>12</v>
      </c>
      <c r="S103" s="12" t="s">
        <v>12</v>
      </c>
      <c r="T103" s="12">
        <v>37.4</v>
      </c>
      <c r="U103" s="12" t="s">
        <v>127</v>
      </c>
      <c r="V103" s="12"/>
      <c r="W103" s="12"/>
      <c r="X103" s="12"/>
      <c r="Y103" s="12"/>
      <c r="Z103" s="12"/>
    </row>
    <row r="104" spans="1:26" x14ac:dyDescent="0.15">
      <c r="A104" s="5">
        <v>2015</v>
      </c>
      <c r="B104" s="5" t="s">
        <v>29</v>
      </c>
      <c r="C104" s="14">
        <v>485.77062816150499</v>
      </c>
      <c r="D104" s="14">
        <v>482.80638360150903</v>
      </c>
      <c r="E104" s="14">
        <v>481.43909729990798</v>
      </c>
      <c r="F104" s="15">
        <v>48.788617418681</v>
      </c>
      <c r="G104" s="15" t="s">
        <v>12</v>
      </c>
      <c r="H104" s="15" t="s">
        <v>12</v>
      </c>
      <c r="I104" s="15">
        <v>8.8479764160069099E-2</v>
      </c>
      <c r="J104" s="15" t="s">
        <v>12</v>
      </c>
      <c r="K104" s="15">
        <v>3.9926313503503699</v>
      </c>
      <c r="L104" s="15">
        <v>3.7207943090547202</v>
      </c>
      <c r="M104" s="15">
        <v>3.84304486239302</v>
      </c>
      <c r="N104" s="15">
        <v>250.328249850568</v>
      </c>
      <c r="O104" s="15">
        <v>9.6602464780146207</v>
      </c>
      <c r="P104" s="10">
        <v>0.72</v>
      </c>
      <c r="Q104" s="15">
        <v>0.13697832147231101</v>
      </c>
      <c r="R104" s="15" t="s">
        <v>12</v>
      </c>
      <c r="S104" s="15" t="s">
        <v>12</v>
      </c>
      <c r="T104" s="15">
        <v>32.9</v>
      </c>
      <c r="U104" s="15" t="s">
        <v>127</v>
      </c>
      <c r="V104" s="15"/>
      <c r="W104" s="15"/>
      <c r="X104" s="15"/>
      <c r="Y104" s="15"/>
      <c r="Z104" s="15"/>
    </row>
    <row r="105" spans="1:26" x14ac:dyDescent="0.15">
      <c r="A105" s="4">
        <v>2015</v>
      </c>
      <c r="B105" s="4" t="s">
        <v>30</v>
      </c>
      <c r="C105" s="11">
        <v>408.02347764199698</v>
      </c>
      <c r="D105" s="11">
        <v>415.70988290835601</v>
      </c>
      <c r="E105" s="11">
        <v>423.27647921834301</v>
      </c>
      <c r="F105" s="12">
        <v>39.972752022600801</v>
      </c>
      <c r="G105" s="12" t="s">
        <v>12</v>
      </c>
      <c r="H105" s="12" t="s">
        <v>12</v>
      </c>
      <c r="I105" s="12">
        <v>1.3497518830767E-2</v>
      </c>
      <c r="J105" s="12" t="s">
        <v>12</v>
      </c>
      <c r="K105" s="12">
        <v>4.6350836618312199</v>
      </c>
      <c r="L105" s="12">
        <v>4.5001397643692203</v>
      </c>
      <c r="M105" s="12">
        <v>4.4952844627773301</v>
      </c>
      <c r="N105" s="12">
        <v>364.47644411664101</v>
      </c>
      <c r="O105" s="12">
        <v>28.495863717795299</v>
      </c>
      <c r="P105" s="13">
        <v>0.35</v>
      </c>
      <c r="Q105" s="12">
        <v>-0.144373991312991</v>
      </c>
      <c r="R105" s="12" t="s">
        <v>12</v>
      </c>
      <c r="S105" s="12" t="s">
        <v>12</v>
      </c>
      <c r="T105" s="12">
        <v>0</v>
      </c>
      <c r="U105" s="12" t="s">
        <v>128</v>
      </c>
      <c r="V105" s="12"/>
      <c r="W105" s="12"/>
      <c r="X105" s="12"/>
      <c r="Y105" s="12"/>
      <c r="Z105" s="12"/>
    </row>
    <row r="106" spans="1:26" x14ac:dyDescent="0.15">
      <c r="A106" s="5">
        <v>2015</v>
      </c>
      <c r="B106" s="5" t="s">
        <v>31</v>
      </c>
      <c r="C106" s="14">
        <v>512.25278984946397</v>
      </c>
      <c r="D106" s="14">
        <v>508.57480607192798</v>
      </c>
      <c r="E106" s="14">
        <v>502.95905117365498</v>
      </c>
      <c r="F106" s="15">
        <v>54.491082666435197</v>
      </c>
      <c r="G106" s="15" t="s">
        <v>12</v>
      </c>
      <c r="H106" s="15" t="s">
        <v>12</v>
      </c>
      <c r="I106" s="15" t="s">
        <v>12</v>
      </c>
      <c r="J106" s="15" t="s">
        <v>12</v>
      </c>
      <c r="K106" s="15">
        <v>3.0935967909816</v>
      </c>
      <c r="L106" s="15">
        <v>5.1801803828523596</v>
      </c>
      <c r="M106" s="15">
        <v>3.4560930073476999</v>
      </c>
      <c r="N106" s="15">
        <v>219.10451436890699</v>
      </c>
      <c r="O106" s="15">
        <v>20.3783371893877</v>
      </c>
      <c r="P106" s="10">
        <v>0.81</v>
      </c>
      <c r="Q106" s="15">
        <v>0.166226859714348</v>
      </c>
      <c r="R106" s="15" t="s">
        <v>12</v>
      </c>
      <c r="S106" s="15" t="s">
        <v>12</v>
      </c>
      <c r="T106" s="15">
        <v>28.2</v>
      </c>
      <c r="U106" s="15" t="s">
        <v>127</v>
      </c>
      <c r="V106" s="15"/>
      <c r="W106" s="15"/>
      <c r="X106" s="15"/>
      <c r="Y106" s="15"/>
      <c r="Z106" s="15"/>
    </row>
    <row r="107" spans="1:26" x14ac:dyDescent="0.15">
      <c r="A107" s="4">
        <v>2015</v>
      </c>
      <c r="B107" s="4" t="s">
        <v>32</v>
      </c>
      <c r="C107" s="11">
        <v>495.22325640525003</v>
      </c>
      <c r="D107" s="11">
        <v>513.30351222524405</v>
      </c>
      <c r="E107" s="11">
        <v>509.27071261803002</v>
      </c>
      <c r="F107" s="12">
        <v>57.377247346542397</v>
      </c>
      <c r="G107" s="12" t="s">
        <v>12</v>
      </c>
      <c r="H107" s="12" t="s">
        <v>12</v>
      </c>
      <c r="I107" s="12" t="s">
        <v>12</v>
      </c>
      <c r="J107" s="12" t="s">
        <v>12</v>
      </c>
      <c r="K107" s="12">
        <v>4.2762807417712603</v>
      </c>
      <c r="L107" s="12">
        <v>4.4257095103144399</v>
      </c>
      <c r="M107" s="12">
        <v>4.3289581709595799</v>
      </c>
      <c r="N107" s="12" t="s">
        <v>12</v>
      </c>
      <c r="O107" s="12">
        <v>14.5967612821436</v>
      </c>
      <c r="P107" s="13">
        <v>0.9</v>
      </c>
      <c r="Q107" s="12">
        <v>-0.168414289389721</v>
      </c>
      <c r="R107" s="12" t="s">
        <v>12</v>
      </c>
      <c r="S107" s="12" t="s">
        <v>12</v>
      </c>
      <c r="T107" s="12">
        <v>0</v>
      </c>
      <c r="U107" s="12" t="s">
        <v>130</v>
      </c>
      <c r="V107" s="12"/>
      <c r="W107" s="12"/>
      <c r="X107" s="12"/>
      <c r="Y107" s="12"/>
      <c r="Z107" s="12"/>
    </row>
    <row r="108" spans="1:26" x14ac:dyDescent="0.15">
      <c r="A108" s="5">
        <v>2015</v>
      </c>
      <c r="B108" s="5" t="s">
        <v>33</v>
      </c>
      <c r="C108" s="14">
        <v>501.72981494419702</v>
      </c>
      <c r="D108" s="14">
        <v>498.48110908611397</v>
      </c>
      <c r="E108" s="14">
        <v>513.19117283773505</v>
      </c>
      <c r="F108" s="15">
        <v>61.7679745099367</v>
      </c>
      <c r="G108" s="15" t="s">
        <v>12</v>
      </c>
      <c r="H108" s="15" t="s">
        <v>12</v>
      </c>
      <c r="I108" s="15" t="s">
        <v>12</v>
      </c>
      <c r="J108" s="15" t="s">
        <v>12</v>
      </c>
      <c r="K108" s="15">
        <v>3.7751085799296198</v>
      </c>
      <c r="L108" s="15">
        <v>2.74664286943786</v>
      </c>
      <c r="M108" s="15">
        <v>4.29714045028856</v>
      </c>
      <c r="N108" s="15">
        <v>100.82384265468001</v>
      </c>
      <c r="O108" s="15">
        <v>10.2109504778829</v>
      </c>
      <c r="P108" s="10">
        <v>0.84</v>
      </c>
      <c r="Q108" s="15">
        <v>0.210412850292055</v>
      </c>
      <c r="R108" s="15" t="s">
        <v>12</v>
      </c>
      <c r="S108" s="15" t="s">
        <v>12</v>
      </c>
      <c r="T108" s="15">
        <v>27.5</v>
      </c>
      <c r="U108" s="15" t="s">
        <v>127</v>
      </c>
      <c r="V108" s="15"/>
      <c r="W108" s="15"/>
      <c r="X108" s="15"/>
      <c r="Y108" s="15"/>
      <c r="Z108" s="15"/>
    </row>
    <row r="109" spans="1:26" x14ac:dyDescent="0.15">
      <c r="A109" s="4">
        <v>2015</v>
      </c>
      <c r="B109" s="4" t="s">
        <v>34</v>
      </c>
      <c r="C109" s="11">
        <v>504.46925137393799</v>
      </c>
      <c r="D109" s="11">
        <v>501.43533182058002</v>
      </c>
      <c r="E109" s="11">
        <v>505.697070414596</v>
      </c>
      <c r="F109" s="12">
        <v>45.683914946399803</v>
      </c>
      <c r="G109" s="12" t="s">
        <v>12</v>
      </c>
      <c r="H109" s="12" t="s">
        <v>12</v>
      </c>
      <c r="I109" s="12" t="s">
        <v>12</v>
      </c>
      <c r="J109" s="12" t="s">
        <v>12</v>
      </c>
      <c r="K109" s="12">
        <v>4.6905520673829999</v>
      </c>
      <c r="L109" s="12">
        <v>3.9983280779321602</v>
      </c>
      <c r="M109" s="12">
        <v>5.0823651366407203</v>
      </c>
      <c r="N109" s="12">
        <v>87.526282263947195</v>
      </c>
      <c r="O109" s="12">
        <v>8.6892378049015697</v>
      </c>
      <c r="P109" s="13">
        <v>0.95</v>
      </c>
      <c r="Q109" s="12">
        <v>-0.25241081607904697</v>
      </c>
      <c r="R109" s="12" t="s">
        <v>12</v>
      </c>
      <c r="S109" s="12" t="s">
        <v>12</v>
      </c>
      <c r="T109" s="12">
        <v>31.8</v>
      </c>
      <c r="U109" s="12" t="s">
        <v>127</v>
      </c>
      <c r="V109" s="12"/>
      <c r="W109" s="12"/>
      <c r="X109" s="12"/>
      <c r="Y109" s="12"/>
      <c r="Z109" s="12"/>
    </row>
    <row r="110" spans="1:26" x14ac:dyDescent="0.15">
      <c r="A110" s="5">
        <v>2015</v>
      </c>
      <c r="B110" s="5" t="s">
        <v>35</v>
      </c>
      <c r="C110" s="14">
        <v>491.62696786043801</v>
      </c>
      <c r="D110" s="14">
        <v>501.10006223380498</v>
      </c>
      <c r="E110" s="14">
        <v>498.12890562716899</v>
      </c>
      <c r="F110" s="15">
        <v>48.631210017464497</v>
      </c>
      <c r="G110" s="15" t="s">
        <v>12</v>
      </c>
      <c r="H110" s="15" t="s">
        <v>12</v>
      </c>
      <c r="I110" s="15">
        <v>0.29451853887128498</v>
      </c>
      <c r="J110" s="15" t="s">
        <v>12</v>
      </c>
      <c r="K110" s="15">
        <v>4.0197572684357601</v>
      </c>
      <c r="L110" s="15">
        <v>3.57483656304457</v>
      </c>
      <c r="M110" s="15">
        <v>3.7038167314984798</v>
      </c>
      <c r="N110" s="15">
        <v>227.10015287101399</v>
      </c>
      <c r="O110" s="15">
        <v>11.0134153446547</v>
      </c>
      <c r="P110" s="10">
        <v>0.92</v>
      </c>
      <c r="Q110" s="15">
        <v>0.103803920573678</v>
      </c>
      <c r="R110" s="15" t="s">
        <v>12</v>
      </c>
      <c r="S110" s="15" t="s">
        <v>12</v>
      </c>
      <c r="T110" s="15">
        <v>35.5</v>
      </c>
      <c r="U110" s="15" t="s">
        <v>127</v>
      </c>
      <c r="V110" s="15"/>
      <c r="W110" s="15"/>
      <c r="X110" s="15"/>
      <c r="Y110" s="15"/>
      <c r="Z110" s="15"/>
    </row>
    <row r="111" spans="1:26" x14ac:dyDescent="0.15">
      <c r="A111" s="4">
        <v>2015</v>
      </c>
      <c r="B111" s="4" t="s">
        <v>36</v>
      </c>
      <c r="C111" s="11">
        <v>475.230105289991</v>
      </c>
      <c r="D111" s="11">
        <v>460.77485582643698</v>
      </c>
      <c r="E111" s="11">
        <v>452.51433687693998</v>
      </c>
      <c r="F111" s="12">
        <v>47.794081344254003</v>
      </c>
      <c r="G111" s="12" t="s">
        <v>12</v>
      </c>
      <c r="H111" s="12" t="s">
        <v>12</v>
      </c>
      <c r="I111" s="12" t="s">
        <v>12</v>
      </c>
      <c r="J111" s="12" t="s">
        <v>12</v>
      </c>
      <c r="K111" s="12">
        <v>4.1218489889012302</v>
      </c>
      <c r="L111" s="12">
        <v>4.0894837936801602</v>
      </c>
      <c r="M111" s="12">
        <v>4.2455709776218198</v>
      </c>
      <c r="N111" s="12">
        <v>80.077571786246494</v>
      </c>
      <c r="O111" s="12">
        <v>12.6090999189638</v>
      </c>
      <c r="P111" s="13">
        <v>0.92</v>
      </c>
      <c r="Q111" s="12">
        <v>-0.278124501035585</v>
      </c>
      <c r="R111" s="12" t="s">
        <v>12</v>
      </c>
      <c r="S111" s="12" t="s">
        <v>12</v>
      </c>
      <c r="T111" s="12" t="s">
        <v>125</v>
      </c>
      <c r="U111" s="12" t="s">
        <v>127</v>
      </c>
      <c r="V111" s="12"/>
      <c r="W111" s="12"/>
      <c r="X111" s="12"/>
      <c r="Y111" s="12"/>
      <c r="Z111" s="12"/>
    </row>
    <row r="112" spans="1:26" x14ac:dyDescent="0.15">
      <c r="A112" s="5">
        <v>2015</v>
      </c>
      <c r="B112" s="5" t="s">
        <v>37</v>
      </c>
      <c r="C112" s="14">
        <v>509.919632114553</v>
      </c>
      <c r="D112" s="14">
        <v>512.86357860040903</v>
      </c>
      <c r="E112" s="14">
        <v>505.215880573471</v>
      </c>
      <c r="F112" s="15">
        <v>52.314897828444899</v>
      </c>
      <c r="G112" s="15" t="s">
        <v>12</v>
      </c>
      <c r="H112" s="15" t="s">
        <v>12</v>
      </c>
      <c r="I112" s="15" t="s">
        <v>12</v>
      </c>
      <c r="J112" s="15" t="s">
        <v>12</v>
      </c>
      <c r="K112" s="15">
        <v>3.5974256953964199</v>
      </c>
      <c r="L112" s="15">
        <v>4.6790721026924604</v>
      </c>
      <c r="M112" s="15">
        <v>3.8667746857902201</v>
      </c>
      <c r="N112" s="15">
        <v>145.29012729111699</v>
      </c>
      <c r="O112" s="15">
        <v>10.770321052776</v>
      </c>
      <c r="P112" s="10">
        <v>0.97</v>
      </c>
      <c r="Q112" s="15">
        <v>-9.7579664997918605E-2</v>
      </c>
      <c r="R112" s="15" t="s">
        <v>12</v>
      </c>
      <c r="S112" s="15" t="s">
        <v>12</v>
      </c>
      <c r="T112" s="15">
        <v>25.4</v>
      </c>
      <c r="U112" s="15" t="s">
        <v>127</v>
      </c>
      <c r="V112" s="15"/>
      <c r="W112" s="15"/>
      <c r="X112" s="15"/>
      <c r="Y112" s="15"/>
      <c r="Z112" s="15"/>
    </row>
    <row r="113" spans="1:26" x14ac:dyDescent="0.15">
      <c r="A113" s="4">
        <v>2015</v>
      </c>
      <c r="B113" s="4" t="s">
        <v>38</v>
      </c>
      <c r="C113" s="11">
        <v>485.84321733005697</v>
      </c>
      <c r="D113" s="11">
        <v>492.78613611500703</v>
      </c>
      <c r="E113" s="11">
        <v>495.57643530057902</v>
      </c>
      <c r="F113" s="12">
        <v>47.968050173483498</v>
      </c>
      <c r="G113" s="12" t="s">
        <v>12</v>
      </c>
      <c r="H113" s="12" t="s">
        <v>12</v>
      </c>
      <c r="I113" s="12">
        <v>0.19521509732998299</v>
      </c>
      <c r="J113" s="12" t="s">
        <v>12</v>
      </c>
      <c r="K113" s="12">
        <v>3.89081765479275</v>
      </c>
      <c r="L113" s="12">
        <v>3.5512576395032598</v>
      </c>
      <c r="M113" s="12">
        <v>3.7019962086871301</v>
      </c>
      <c r="N113" s="12">
        <v>77.761729381332799</v>
      </c>
      <c r="O113" s="12">
        <v>12.5260367973663</v>
      </c>
      <c r="P113" s="13">
        <v>0.89</v>
      </c>
      <c r="Q113" s="12">
        <v>0.469555469913636</v>
      </c>
      <c r="R113" s="12" t="s">
        <v>12</v>
      </c>
      <c r="S113" s="12" t="s">
        <v>12</v>
      </c>
      <c r="T113" s="12">
        <v>36.200000000000003</v>
      </c>
      <c r="U113" s="12" t="s">
        <v>127</v>
      </c>
      <c r="V113" s="12"/>
      <c r="W113" s="12"/>
      <c r="X113" s="12"/>
      <c r="Y113" s="12"/>
      <c r="Z113" s="12"/>
    </row>
    <row r="114" spans="1:26" x14ac:dyDescent="0.15">
      <c r="A114" s="5">
        <v>2015</v>
      </c>
      <c r="B114" s="5" t="s">
        <v>39</v>
      </c>
      <c r="C114" s="14">
        <v>493.91812212912998</v>
      </c>
      <c r="D114" s="14">
        <v>493.42235622743999</v>
      </c>
      <c r="E114" s="14">
        <v>500.15560659666698</v>
      </c>
      <c r="F114" s="15">
        <v>57.730117112662597</v>
      </c>
      <c r="G114" s="15" t="s">
        <v>12</v>
      </c>
      <c r="H114" s="15" t="s">
        <v>12</v>
      </c>
      <c r="I114" s="15" t="s">
        <v>12</v>
      </c>
      <c r="J114" s="15" t="s">
        <v>12</v>
      </c>
      <c r="K114" s="15">
        <v>3.2173876871544298</v>
      </c>
      <c r="L114" s="15">
        <v>3.0325110339805001</v>
      </c>
      <c r="M114" s="15">
        <v>3.1573605944284999</v>
      </c>
      <c r="N114" s="15" t="s">
        <v>12</v>
      </c>
      <c r="O114" s="15">
        <v>11.472882435607399</v>
      </c>
      <c r="P114" s="10">
        <v>0.86</v>
      </c>
      <c r="Q114" s="15">
        <v>3.9172530931397199E-2</v>
      </c>
      <c r="R114" s="15" t="s">
        <v>12</v>
      </c>
      <c r="S114" s="15" t="s">
        <v>12</v>
      </c>
      <c r="T114" s="15">
        <v>29.2</v>
      </c>
      <c r="U114" s="15" t="s">
        <v>127</v>
      </c>
      <c r="V114" s="15"/>
      <c r="W114" s="15"/>
      <c r="X114" s="15"/>
      <c r="Y114" s="15"/>
      <c r="Z114" s="15"/>
    </row>
    <row r="115" spans="1:26" x14ac:dyDescent="0.15">
      <c r="A115" s="4">
        <v>2015</v>
      </c>
      <c r="B115" s="4" t="s">
        <v>40</v>
      </c>
      <c r="C115" s="11">
        <v>521.2505751832</v>
      </c>
      <c r="D115" s="11">
        <v>505.50581553303698</v>
      </c>
      <c r="E115" s="11">
        <v>492.19822858389898</v>
      </c>
      <c r="F115" s="12">
        <v>53.037899395018798</v>
      </c>
      <c r="G115" s="12" t="s">
        <v>12</v>
      </c>
      <c r="H115" s="12" t="s">
        <v>12</v>
      </c>
      <c r="I115" s="12" t="s">
        <v>12</v>
      </c>
      <c r="J115" s="12" t="s">
        <v>12</v>
      </c>
      <c r="K115" s="12">
        <v>4.5576207772357096</v>
      </c>
      <c r="L115" s="12">
        <v>3.2870424262309701</v>
      </c>
      <c r="M115" s="12">
        <v>4.4414667151213996</v>
      </c>
      <c r="N115" s="12">
        <v>181.98992075488599</v>
      </c>
      <c r="O115" s="12">
        <v>12.2151992214862</v>
      </c>
      <c r="P115" s="13">
        <v>0.81</v>
      </c>
      <c r="Q115" s="12">
        <v>0.35618456221454398</v>
      </c>
      <c r="R115" s="12" t="s">
        <v>12</v>
      </c>
      <c r="S115" s="12" t="s">
        <v>12</v>
      </c>
      <c r="T115" s="12">
        <v>32.299999999999997</v>
      </c>
      <c r="U115" s="12" t="s">
        <v>127</v>
      </c>
      <c r="V115" s="12"/>
      <c r="W115" s="12"/>
      <c r="X115" s="12"/>
      <c r="Y115" s="12"/>
      <c r="Z115" s="12"/>
    </row>
    <row r="116" spans="1:26" x14ac:dyDescent="0.15">
      <c r="A116" s="5">
        <v>2015</v>
      </c>
      <c r="B116" s="5" t="s">
        <v>41</v>
      </c>
      <c r="C116" s="14">
        <v>420.45397947154299</v>
      </c>
      <c r="D116" s="14">
        <v>425.48950886493702</v>
      </c>
      <c r="E116" s="14">
        <v>428.335092574425</v>
      </c>
      <c r="F116" s="15">
        <v>36.695698546352197</v>
      </c>
      <c r="G116" s="15" t="s">
        <v>12</v>
      </c>
      <c r="H116" s="15" t="s">
        <v>12</v>
      </c>
      <c r="I116" s="15" t="s">
        <v>12</v>
      </c>
      <c r="J116" s="15" t="s">
        <v>12</v>
      </c>
      <c r="K116" s="15">
        <v>5.51244925470853</v>
      </c>
      <c r="L116" s="15">
        <v>4.9395291920137598</v>
      </c>
      <c r="M116" s="15">
        <v>4.23367248516373</v>
      </c>
      <c r="N116" s="15">
        <v>241.88390342190999</v>
      </c>
      <c r="O116" s="15">
        <v>15.1565221965066</v>
      </c>
      <c r="P116" s="10">
        <v>0.92</v>
      </c>
      <c r="Q116" s="15">
        <v>-0.43675143558458501</v>
      </c>
      <c r="R116" s="15" t="s">
        <v>12</v>
      </c>
      <c r="S116" s="15" t="s">
        <v>12</v>
      </c>
      <c r="T116" s="15">
        <v>42.9</v>
      </c>
      <c r="U116" s="15" t="s">
        <v>132</v>
      </c>
      <c r="V116" s="15"/>
      <c r="W116" s="15"/>
      <c r="X116" s="15"/>
      <c r="Y116" s="15"/>
      <c r="Z116" s="15"/>
    </row>
    <row r="117" spans="1:26" x14ac:dyDescent="0.15">
      <c r="A117" s="4">
        <v>2015</v>
      </c>
      <c r="B117" s="4" t="s">
        <v>42</v>
      </c>
      <c r="C117" s="11">
        <v>492.47853067251202</v>
      </c>
      <c r="D117" s="11">
        <v>509.22150294191903</v>
      </c>
      <c r="E117" s="11">
        <v>497.971931138743</v>
      </c>
      <c r="F117" s="12">
        <v>56.3972897575877</v>
      </c>
      <c r="G117" s="12" t="s">
        <v>12</v>
      </c>
      <c r="H117" s="12" t="s">
        <v>12</v>
      </c>
      <c r="I117" s="12"/>
      <c r="J117" s="12" t="s">
        <v>12</v>
      </c>
      <c r="K117" s="12">
        <v>4.2215762407625901</v>
      </c>
      <c r="L117" s="12">
        <v>5.1178312846230298</v>
      </c>
      <c r="M117" s="12">
        <v>4.3667462857778201</v>
      </c>
      <c r="N117" s="12">
        <v>353.27760677325699</v>
      </c>
      <c r="O117" s="12">
        <v>14.6710208126902</v>
      </c>
      <c r="P117" s="13">
        <v>0.92</v>
      </c>
      <c r="Q117" s="12">
        <v>-9.3402753689734996E-2</v>
      </c>
      <c r="R117" s="12" t="s">
        <v>12</v>
      </c>
      <c r="S117" s="12" t="s">
        <v>12</v>
      </c>
      <c r="T117" s="12">
        <v>33.299999999999997</v>
      </c>
      <c r="U117" s="12" t="s">
        <v>127</v>
      </c>
      <c r="V117" s="12"/>
      <c r="W117" s="12"/>
      <c r="X117" s="12"/>
      <c r="Y117" s="12"/>
      <c r="Z117" s="12"/>
    </row>
    <row r="118" spans="1:26" x14ac:dyDescent="0.15">
      <c r="A118" s="5">
        <v>2015</v>
      </c>
      <c r="B118" s="5" t="s">
        <v>43</v>
      </c>
      <c r="C118" s="14">
        <v>469.62849181761402</v>
      </c>
      <c r="D118" s="14">
        <v>496.24243416488702</v>
      </c>
      <c r="E118" s="14">
        <v>496.935097348993</v>
      </c>
      <c r="F118" s="15">
        <v>54.134839069303901</v>
      </c>
      <c r="G118" s="15" t="s">
        <v>12</v>
      </c>
      <c r="H118" s="15" t="s">
        <v>12</v>
      </c>
      <c r="I118" s="15" t="s">
        <v>12</v>
      </c>
      <c r="J118" s="15" t="s">
        <v>12</v>
      </c>
      <c r="K118" s="15">
        <v>4.1035679639850704</v>
      </c>
      <c r="L118" s="15">
        <v>4.0355659692200101</v>
      </c>
      <c r="M118" s="15">
        <v>4.3613385010237797</v>
      </c>
      <c r="N118" s="15">
        <v>349.16117510595399</v>
      </c>
      <c r="O118" s="15">
        <v>16.0226968432288</v>
      </c>
      <c r="P118" s="10">
        <v>0.92</v>
      </c>
      <c r="Q118" s="15">
        <v>-8.7642853682243907E-2</v>
      </c>
      <c r="R118" s="15" t="s">
        <v>12</v>
      </c>
      <c r="S118" s="15" t="s">
        <v>12</v>
      </c>
      <c r="T118" s="15">
        <v>41.5</v>
      </c>
      <c r="U118" s="15" t="s">
        <v>128</v>
      </c>
      <c r="V118" s="15"/>
      <c r="W118" s="15"/>
      <c r="X118" s="15"/>
      <c r="Y118" s="15"/>
      <c r="Z118" s="15"/>
    </row>
    <row r="119" spans="1:26" x14ac:dyDescent="0.15">
      <c r="A119" s="4">
        <v>2012</v>
      </c>
      <c r="B119" s="4" t="s">
        <v>4</v>
      </c>
      <c r="C119" s="11">
        <v>488.16415371678102</v>
      </c>
      <c r="D119" s="11">
        <v>496.440510669172</v>
      </c>
      <c r="E119" s="11">
        <v>491.82120671966902</v>
      </c>
      <c r="F119" s="12">
        <v>50.039313301809997</v>
      </c>
      <c r="G119" s="12" t="s">
        <v>12</v>
      </c>
      <c r="H119" s="12" t="s">
        <v>12</v>
      </c>
      <c r="I119" s="12" t="s">
        <v>12</v>
      </c>
      <c r="J119" s="12">
        <v>3.0502014842886199E-2</v>
      </c>
      <c r="K119" s="12">
        <v>4.2034372084948499</v>
      </c>
      <c r="L119" s="12">
        <v>3.9422580794268498</v>
      </c>
      <c r="M119" s="12">
        <v>4.1285559851598199</v>
      </c>
      <c r="N119" s="12">
        <v>161.89672296975499</v>
      </c>
      <c r="O119" s="12">
        <v>13.687923312538601</v>
      </c>
      <c r="P119" s="13" t="s">
        <v>12</v>
      </c>
      <c r="Q119" s="12">
        <v>1.5877230998836499E-2</v>
      </c>
      <c r="R119" s="12" t="s">
        <v>12</v>
      </c>
      <c r="S119" s="12" t="s">
        <v>12</v>
      </c>
      <c r="T119" s="12" t="s">
        <v>125</v>
      </c>
      <c r="U119" s="12" t="s">
        <v>125</v>
      </c>
      <c r="V119" s="12"/>
      <c r="W119" s="12"/>
      <c r="X119" s="12"/>
      <c r="Y119" s="12"/>
      <c r="Z119" s="12"/>
    </row>
    <row r="120" spans="1:26" x14ac:dyDescent="0.15">
      <c r="A120" s="5">
        <v>2012</v>
      </c>
      <c r="B120" s="5" t="s">
        <v>5</v>
      </c>
      <c r="C120" s="14">
        <v>504.15076626947399</v>
      </c>
      <c r="D120" s="14">
        <v>521.49474717952205</v>
      </c>
      <c r="E120" s="14">
        <v>511.80399763569898</v>
      </c>
      <c r="F120" s="15">
        <v>57.388256405606597</v>
      </c>
      <c r="G120" s="15" t="s">
        <v>12</v>
      </c>
      <c r="H120" s="15" t="s">
        <v>12</v>
      </c>
      <c r="I120" s="15" t="s">
        <v>12</v>
      </c>
      <c r="J120" s="15">
        <v>0.29469257494377898</v>
      </c>
      <c r="K120" s="15">
        <v>4</v>
      </c>
      <c r="L120" s="15">
        <v>4.2</v>
      </c>
      <c r="M120" s="15">
        <v>4.3</v>
      </c>
      <c r="N120" s="15">
        <v>161.71870729594599</v>
      </c>
      <c r="O120" s="15">
        <v>13.1500084393719</v>
      </c>
      <c r="P120" s="10" t="s">
        <v>12</v>
      </c>
      <c r="Q120" s="15">
        <v>-0.15211678301110901</v>
      </c>
      <c r="R120" s="15" t="s">
        <v>12</v>
      </c>
      <c r="S120" s="15" t="s">
        <v>12</v>
      </c>
      <c r="T120" s="15">
        <v>0</v>
      </c>
      <c r="U120" s="15" t="s">
        <v>130</v>
      </c>
      <c r="V120" s="15"/>
      <c r="W120" s="15"/>
      <c r="X120" s="15"/>
      <c r="Y120" s="15"/>
      <c r="Z120" s="15"/>
    </row>
    <row r="121" spans="1:26" x14ac:dyDescent="0.15">
      <c r="A121" s="4">
        <v>2012</v>
      </c>
      <c r="B121" s="4" t="s">
        <v>6</v>
      </c>
      <c r="C121" s="11">
        <v>505.54074304018798</v>
      </c>
      <c r="D121" s="11">
        <v>505.78124786171099</v>
      </c>
      <c r="E121" s="11">
        <v>489.60933516583799</v>
      </c>
      <c r="F121" s="12">
        <v>48.922825469931098</v>
      </c>
      <c r="G121" s="12" t="s">
        <v>12</v>
      </c>
      <c r="H121" s="12" t="s">
        <v>12</v>
      </c>
      <c r="I121" s="12" t="s">
        <v>12</v>
      </c>
      <c r="J121" s="12">
        <v>-0.45837322836636402</v>
      </c>
      <c r="K121" s="12">
        <v>3</v>
      </c>
      <c r="L121" s="12">
        <v>4</v>
      </c>
      <c r="M121" s="12">
        <v>2.9</v>
      </c>
      <c r="N121" s="12">
        <v>138.213640327832</v>
      </c>
      <c r="O121" s="12">
        <v>11.016393430977001</v>
      </c>
      <c r="P121" s="13" t="s">
        <v>12</v>
      </c>
      <c r="Q121" s="12">
        <v>0.54935322778412399</v>
      </c>
      <c r="R121" s="12" t="s">
        <v>12</v>
      </c>
      <c r="S121" s="12" t="s">
        <v>12</v>
      </c>
      <c r="T121" s="12">
        <v>30.5</v>
      </c>
      <c r="U121" s="12" t="s">
        <v>127</v>
      </c>
      <c r="V121" s="12"/>
      <c r="W121" s="12"/>
      <c r="X121" s="12"/>
      <c r="Y121" s="12"/>
      <c r="Z121" s="12"/>
    </row>
    <row r="122" spans="1:26" x14ac:dyDescent="0.15">
      <c r="A122" s="5">
        <v>2012</v>
      </c>
      <c r="B122" s="5" t="s">
        <v>7</v>
      </c>
      <c r="C122" s="14">
        <v>514.52924489034001</v>
      </c>
      <c r="D122" s="14">
        <v>504.86765413889799</v>
      </c>
      <c r="E122" s="14">
        <v>508.61787650267303</v>
      </c>
      <c r="F122" s="15">
        <v>51.616551853544699</v>
      </c>
      <c r="G122" s="15" t="s">
        <v>12</v>
      </c>
      <c r="H122" s="15" t="s">
        <v>12</v>
      </c>
      <c r="I122" s="15" t="s">
        <v>12</v>
      </c>
      <c r="J122" s="15">
        <v>-0.14333509806188799</v>
      </c>
      <c r="K122" s="15">
        <v>4</v>
      </c>
      <c r="L122" s="15">
        <v>3.2</v>
      </c>
      <c r="M122" s="15">
        <v>4.0999999999999996</v>
      </c>
      <c r="N122" s="15">
        <v>129.84517251014799</v>
      </c>
      <c r="O122" s="15">
        <v>9.2746976811246409</v>
      </c>
      <c r="P122" s="10" t="s">
        <v>12</v>
      </c>
      <c r="Q122" s="15">
        <v>-5.4842921016395201E-2</v>
      </c>
      <c r="R122" s="15" t="s">
        <v>12</v>
      </c>
      <c r="S122" s="15" t="s">
        <v>12</v>
      </c>
      <c r="T122" s="15">
        <v>27.5</v>
      </c>
      <c r="U122" s="15" t="s">
        <v>127</v>
      </c>
      <c r="V122" s="15"/>
      <c r="W122" s="15"/>
      <c r="X122" s="15"/>
      <c r="Y122" s="15"/>
      <c r="Z122" s="15"/>
    </row>
    <row r="123" spans="1:26" x14ac:dyDescent="0.15">
      <c r="A123" s="4">
        <v>2012</v>
      </c>
      <c r="B123" s="4" t="s">
        <v>8</v>
      </c>
      <c r="C123" s="11">
        <v>518.07039965409899</v>
      </c>
      <c r="D123" s="11">
        <v>525.44129324696405</v>
      </c>
      <c r="E123" s="11">
        <v>523.12400306906704</v>
      </c>
      <c r="F123" s="12">
        <v>55.3708504479509</v>
      </c>
      <c r="G123" s="12" t="s">
        <v>12</v>
      </c>
      <c r="H123" s="12" t="s">
        <v>12</v>
      </c>
      <c r="I123" s="12" t="s">
        <v>12</v>
      </c>
      <c r="J123" s="12">
        <v>0.217416260138103</v>
      </c>
      <c r="K123" s="12">
        <v>4</v>
      </c>
      <c r="L123" s="12">
        <v>4.2</v>
      </c>
      <c r="M123" s="12">
        <v>4.3</v>
      </c>
      <c r="N123" s="12">
        <v>250.11696644419001</v>
      </c>
      <c r="O123" s="12">
        <v>15.6048279291493</v>
      </c>
      <c r="P123" s="13" t="s">
        <v>12</v>
      </c>
      <c r="Q123" s="12">
        <v>-8.6657956262804203E-2</v>
      </c>
      <c r="R123" s="12" t="s">
        <v>12</v>
      </c>
      <c r="S123" s="12" t="s">
        <v>12</v>
      </c>
      <c r="T123" s="12">
        <v>33.5</v>
      </c>
      <c r="U123" s="12" t="s">
        <v>128</v>
      </c>
      <c r="V123" s="12"/>
      <c r="W123" s="12"/>
      <c r="X123" s="12"/>
      <c r="Y123" s="12"/>
      <c r="Z123" s="12"/>
    </row>
    <row r="124" spans="1:26" x14ac:dyDescent="0.15">
      <c r="A124" s="5">
        <v>2012</v>
      </c>
      <c r="B124" s="5" t="s">
        <v>9</v>
      </c>
      <c r="C124" s="14">
        <v>422.63235551239802</v>
      </c>
      <c r="D124" s="14">
        <v>444.93392073443601</v>
      </c>
      <c r="E124" s="14">
        <v>441.39816388760499</v>
      </c>
      <c r="F124" s="15">
        <v>40.844594344803902</v>
      </c>
      <c r="G124" s="15" t="s">
        <v>12</v>
      </c>
      <c r="H124" s="15" t="s">
        <v>12</v>
      </c>
      <c r="I124" s="15" t="s">
        <v>12</v>
      </c>
      <c r="J124" s="15">
        <v>0.413604614941605</v>
      </c>
      <c r="K124" s="15">
        <v>6</v>
      </c>
      <c r="L124" s="15">
        <v>4.7</v>
      </c>
      <c r="M124" s="15">
        <v>5.8</v>
      </c>
      <c r="N124" s="15">
        <v>133.92855435011799</v>
      </c>
      <c r="O124" s="15">
        <v>22.095616849219301</v>
      </c>
      <c r="P124" s="10" t="s">
        <v>12</v>
      </c>
      <c r="Q124" s="15">
        <v>0.136209110242653</v>
      </c>
      <c r="R124" s="15" t="s">
        <v>12</v>
      </c>
      <c r="S124" s="15" t="s">
        <v>12</v>
      </c>
      <c r="T124" s="15">
        <v>0</v>
      </c>
      <c r="U124" s="15" t="s">
        <v>131</v>
      </c>
      <c r="V124" s="15"/>
      <c r="W124" s="15"/>
      <c r="X124" s="15"/>
      <c r="Y124" s="15"/>
      <c r="Z124" s="15"/>
    </row>
    <row r="125" spans="1:26" x14ac:dyDescent="0.15">
      <c r="A125" s="4">
        <v>2012</v>
      </c>
      <c r="B125" s="4" t="s">
        <v>10</v>
      </c>
      <c r="C125" s="11">
        <v>376.48860104617</v>
      </c>
      <c r="D125" s="11">
        <v>398.67863163391502</v>
      </c>
      <c r="E125" s="11">
        <v>403.40253417693202</v>
      </c>
      <c r="F125" s="12">
        <v>39.5038257937765</v>
      </c>
      <c r="G125" s="12" t="s">
        <v>12</v>
      </c>
      <c r="H125" s="12" t="s">
        <v>12</v>
      </c>
      <c r="I125" s="12" t="s">
        <v>12</v>
      </c>
      <c r="J125" s="12">
        <v>0.50075832410680199</v>
      </c>
      <c r="K125" s="12">
        <v>4</v>
      </c>
      <c r="L125" s="12">
        <v>3</v>
      </c>
      <c r="M125" s="12">
        <v>3.3</v>
      </c>
      <c r="N125" s="12">
        <v>130.24468586203801</v>
      </c>
      <c r="O125" s="12">
        <v>27.011568203909501</v>
      </c>
      <c r="P125" s="13" t="s">
        <v>12</v>
      </c>
      <c r="Q125" s="12">
        <v>0.21201905976223001</v>
      </c>
      <c r="R125" s="12" t="s">
        <v>12</v>
      </c>
      <c r="S125" s="12" t="s">
        <v>12</v>
      </c>
      <c r="T125" s="12" t="s">
        <v>125</v>
      </c>
      <c r="U125" s="12" t="s">
        <v>131</v>
      </c>
      <c r="V125" s="12"/>
      <c r="W125" s="12"/>
      <c r="X125" s="12"/>
      <c r="Y125" s="12"/>
      <c r="Z125" s="12"/>
    </row>
    <row r="126" spans="1:26" x14ac:dyDescent="0.15">
      <c r="A126" s="5">
        <v>2012</v>
      </c>
      <c r="B126" s="5" t="s">
        <v>11</v>
      </c>
      <c r="C126" s="14">
        <v>406.99986717469</v>
      </c>
      <c r="D126" s="14">
        <v>429.35096779493699</v>
      </c>
      <c r="E126" s="14">
        <v>440.54781073631801</v>
      </c>
      <c r="F126" s="15">
        <v>42.249934572105303</v>
      </c>
      <c r="G126" s="15" t="s">
        <v>12</v>
      </c>
      <c r="H126" s="15" t="s">
        <v>12</v>
      </c>
      <c r="I126" s="15" t="s">
        <v>12</v>
      </c>
      <c r="J126" s="15">
        <v>0.530266912621152</v>
      </c>
      <c r="K126" s="15">
        <v>5</v>
      </c>
      <c r="L126" s="15">
        <v>5.0999999999999996</v>
      </c>
      <c r="M126" s="15">
        <v>4.7</v>
      </c>
      <c r="N126" s="15">
        <v>143.15413322565101</v>
      </c>
      <c r="O126" s="15">
        <v>20.4000233716603</v>
      </c>
      <c r="P126" s="10" t="s">
        <v>12</v>
      </c>
      <c r="Q126" s="15">
        <v>0.38213552846809701</v>
      </c>
      <c r="R126" s="15" t="s">
        <v>12</v>
      </c>
      <c r="S126" s="15" t="s">
        <v>12</v>
      </c>
      <c r="T126" s="15" t="s">
        <v>125</v>
      </c>
      <c r="U126" s="15" t="s">
        <v>128</v>
      </c>
      <c r="V126" s="15"/>
      <c r="W126" s="15"/>
      <c r="X126" s="15"/>
      <c r="Y126" s="15"/>
      <c r="Z126" s="15"/>
    </row>
    <row r="127" spans="1:26" x14ac:dyDescent="0.15">
      <c r="A127" s="4">
        <v>2012</v>
      </c>
      <c r="B127" s="4" t="s">
        <v>13</v>
      </c>
      <c r="C127" s="11">
        <v>498.95788246319898</v>
      </c>
      <c r="D127" s="11">
        <v>508.29908084957799</v>
      </c>
      <c r="E127" s="11">
        <v>492.88973841498</v>
      </c>
      <c r="F127" s="12">
        <v>47.2052664538244</v>
      </c>
      <c r="G127" s="12" t="s">
        <v>12</v>
      </c>
      <c r="H127" s="12" t="s">
        <v>12</v>
      </c>
      <c r="I127" s="12" t="s">
        <v>12</v>
      </c>
      <c r="J127" s="12">
        <v>-0.225444619976158</v>
      </c>
      <c r="K127" s="12">
        <v>4</v>
      </c>
      <c r="L127" s="12">
        <v>4.8</v>
      </c>
      <c r="M127" s="12">
        <v>4</v>
      </c>
      <c r="N127" s="12">
        <v>71</v>
      </c>
      <c r="O127" s="12">
        <v>13</v>
      </c>
      <c r="P127" s="13" t="s">
        <v>12</v>
      </c>
      <c r="Q127" s="12">
        <v>-0.35880967919573897</v>
      </c>
      <c r="R127" s="12" t="s">
        <v>12</v>
      </c>
      <c r="S127" s="12" t="s">
        <v>12</v>
      </c>
      <c r="T127" s="12">
        <v>26.1</v>
      </c>
      <c r="U127" s="12" t="s">
        <v>127</v>
      </c>
      <c r="V127" s="12"/>
      <c r="W127" s="12"/>
      <c r="X127" s="12"/>
      <c r="Y127" s="12"/>
      <c r="Z127" s="12"/>
    </row>
    <row r="128" spans="1:26" x14ac:dyDescent="0.15">
      <c r="A128" s="5">
        <v>2012</v>
      </c>
      <c r="B128" s="5" t="s">
        <v>14</v>
      </c>
      <c r="C128" s="14">
        <v>500.02675667428201</v>
      </c>
      <c r="D128" s="14">
        <v>498.474202800223</v>
      </c>
      <c r="E128" s="14">
        <v>496.13088148258601</v>
      </c>
      <c r="F128" s="15">
        <v>54.660596737944502</v>
      </c>
      <c r="G128" s="15" t="s">
        <v>12</v>
      </c>
      <c r="H128" s="15" t="s">
        <v>12</v>
      </c>
      <c r="I128" s="15" t="s">
        <v>12</v>
      </c>
      <c r="J128" s="15">
        <v>0.19152688164429099</v>
      </c>
      <c r="K128" s="15">
        <v>4</v>
      </c>
      <c r="L128" s="15">
        <v>3.4</v>
      </c>
      <c r="M128" s="15">
        <v>6.1</v>
      </c>
      <c r="N128" s="15">
        <v>53.306692793579998</v>
      </c>
      <c r="O128" s="15">
        <v>12.0917090531262</v>
      </c>
      <c r="P128" s="10" t="s">
        <v>12</v>
      </c>
      <c r="Q128" s="15">
        <v>-4.51427870239084E-2</v>
      </c>
      <c r="R128" s="15" t="s">
        <v>12</v>
      </c>
      <c r="S128" s="15" t="s">
        <v>12</v>
      </c>
      <c r="T128" s="15">
        <v>27.8</v>
      </c>
      <c r="U128" s="15" t="s">
        <v>127</v>
      </c>
      <c r="V128" s="15"/>
      <c r="W128" s="15"/>
      <c r="X128" s="15"/>
      <c r="Y128" s="15"/>
      <c r="Z128" s="15"/>
    </row>
    <row r="129" spans="1:26" x14ac:dyDescent="0.15">
      <c r="A129" s="4">
        <v>2012</v>
      </c>
      <c r="B129" s="4" t="s">
        <v>15</v>
      </c>
      <c r="C129" s="11">
        <v>520.545521584124</v>
      </c>
      <c r="D129" s="11">
        <v>541.40475753808505</v>
      </c>
      <c r="E129" s="11">
        <v>516.29418441452401</v>
      </c>
      <c r="F129" s="12">
        <v>50.675842884481</v>
      </c>
      <c r="G129" s="12" t="s">
        <v>12</v>
      </c>
      <c r="H129" s="12" t="s">
        <v>12</v>
      </c>
      <c r="I129" s="12" t="s">
        <v>12</v>
      </c>
      <c r="J129" s="12">
        <v>-0.109349049682155</v>
      </c>
      <c r="K129" s="12">
        <v>5</v>
      </c>
      <c r="L129" s="12">
        <v>4.4000000000000004</v>
      </c>
      <c r="M129" s="12">
        <v>4.4000000000000004</v>
      </c>
      <c r="N129" s="12">
        <v>50.505708042028999</v>
      </c>
      <c r="O129" s="12">
        <v>11.373831711245501</v>
      </c>
      <c r="P129" s="13" t="s">
        <v>12</v>
      </c>
      <c r="Q129" s="12">
        <v>-0.32650744188275299</v>
      </c>
      <c r="R129" s="12" t="s">
        <v>12</v>
      </c>
      <c r="S129" s="12" t="s">
        <v>12</v>
      </c>
      <c r="T129" s="12">
        <v>32.9</v>
      </c>
      <c r="U129" s="12" t="s">
        <v>127</v>
      </c>
      <c r="V129" s="12"/>
      <c r="W129" s="12"/>
      <c r="X129" s="12"/>
      <c r="Y129" s="12"/>
      <c r="Z129" s="12"/>
    </row>
    <row r="130" spans="1:26" x14ac:dyDescent="0.15">
      <c r="A130" s="5">
        <v>2012</v>
      </c>
      <c r="B130" s="5" t="s">
        <v>16</v>
      </c>
      <c r="C130" s="14">
        <v>518.75033527744199</v>
      </c>
      <c r="D130" s="14">
        <v>545.441941092923</v>
      </c>
      <c r="E130" s="14">
        <v>524.02166977668503</v>
      </c>
      <c r="F130" s="15">
        <v>55.565568351584403</v>
      </c>
      <c r="G130" s="15" t="s">
        <v>12</v>
      </c>
      <c r="H130" s="15" t="s">
        <v>12</v>
      </c>
      <c r="I130" s="15" t="s">
        <v>12</v>
      </c>
      <c r="J130" s="15">
        <v>0.15774833521645101</v>
      </c>
      <c r="K130" s="15">
        <v>4</v>
      </c>
      <c r="L130" s="15">
        <v>3.9</v>
      </c>
      <c r="M130" s="15">
        <v>3.2</v>
      </c>
      <c r="N130" s="15">
        <v>112.66140512195101</v>
      </c>
      <c r="O130" s="15">
        <v>10.6053513776193</v>
      </c>
      <c r="P130" s="10" t="s">
        <v>12</v>
      </c>
      <c r="Q130" s="15">
        <v>-0.22256595099781001</v>
      </c>
      <c r="R130" s="15" t="s">
        <v>12</v>
      </c>
      <c r="S130" s="15" t="s">
        <v>12</v>
      </c>
      <c r="T130" s="15">
        <v>27.1</v>
      </c>
      <c r="U130" s="15" t="s">
        <v>127</v>
      </c>
      <c r="V130" s="15"/>
      <c r="W130" s="15"/>
      <c r="X130" s="15"/>
      <c r="Y130" s="15"/>
      <c r="Z130" s="15"/>
    </row>
    <row r="131" spans="1:26" x14ac:dyDescent="0.15">
      <c r="A131" s="4">
        <v>2012</v>
      </c>
      <c r="B131" s="4" t="s">
        <v>17</v>
      </c>
      <c r="C131" s="11">
        <v>494.98467432577797</v>
      </c>
      <c r="D131" s="11">
        <v>498.97089524164801</v>
      </c>
      <c r="E131" s="11">
        <v>505.48148333138801</v>
      </c>
      <c r="F131" s="12">
        <v>51.837688565153201</v>
      </c>
      <c r="G131" s="12" t="s">
        <v>12</v>
      </c>
      <c r="H131" s="12" t="s">
        <v>12</v>
      </c>
      <c r="I131" s="12" t="s">
        <v>12</v>
      </c>
      <c r="J131" s="12">
        <v>-0.22950316917483499</v>
      </c>
      <c r="K131" s="12">
        <v>4</v>
      </c>
      <c r="L131" s="12">
        <v>2.6</v>
      </c>
      <c r="M131" s="12">
        <v>3.6</v>
      </c>
      <c r="N131" s="12">
        <v>236.28639975114299</v>
      </c>
      <c r="O131" s="12">
        <v>11.797773227318601</v>
      </c>
      <c r="P131" s="13" t="s">
        <v>12</v>
      </c>
      <c r="Q131" s="12">
        <v>-0.107552470920791</v>
      </c>
      <c r="R131" s="12" t="s">
        <v>12</v>
      </c>
      <c r="S131" s="12" t="s">
        <v>12</v>
      </c>
      <c r="T131" s="12">
        <v>33.1</v>
      </c>
      <c r="U131" s="12" t="s">
        <v>127</v>
      </c>
      <c r="V131" s="12"/>
      <c r="W131" s="12"/>
      <c r="X131" s="12"/>
      <c r="Y131" s="12"/>
      <c r="Z131" s="12"/>
    </row>
    <row r="132" spans="1:26" x14ac:dyDescent="0.15">
      <c r="A132" s="5">
        <v>2012</v>
      </c>
      <c r="B132" s="5" t="s">
        <v>18</v>
      </c>
      <c r="C132" s="14">
        <v>513.52505569194</v>
      </c>
      <c r="D132" s="14">
        <v>524.12080035284896</v>
      </c>
      <c r="E132" s="14">
        <v>507.67652964237402</v>
      </c>
      <c r="F132" s="15">
        <v>50.910109584021299</v>
      </c>
      <c r="G132" s="15" t="s">
        <v>12</v>
      </c>
      <c r="H132" s="15" t="s">
        <v>12</v>
      </c>
      <c r="I132" s="15" t="s">
        <v>12</v>
      </c>
      <c r="J132" s="15">
        <v>-0.31348709326961599</v>
      </c>
      <c r="K132" s="15">
        <v>4</v>
      </c>
      <c r="L132" s="15">
        <v>5.0999999999999996</v>
      </c>
      <c r="M132" s="15">
        <v>3.9</v>
      </c>
      <c r="N132" s="15">
        <v>100.638632276308</v>
      </c>
      <c r="O132" s="15">
        <v>15.1289425059284</v>
      </c>
      <c r="P132" s="10" t="s">
        <v>12</v>
      </c>
      <c r="Q132" s="15">
        <v>0.26987371686008499</v>
      </c>
      <c r="R132" s="15" t="s">
        <v>12</v>
      </c>
      <c r="S132" s="15" t="s">
        <v>12</v>
      </c>
      <c r="T132" s="15">
        <v>31.1</v>
      </c>
      <c r="U132" s="15" t="s">
        <v>127</v>
      </c>
      <c r="V132" s="15"/>
      <c r="W132" s="15"/>
      <c r="X132" s="15"/>
      <c r="Y132" s="15"/>
      <c r="Z132" s="15"/>
    </row>
    <row r="133" spans="1:26" x14ac:dyDescent="0.15">
      <c r="A133" s="4">
        <v>2012</v>
      </c>
      <c r="B133" s="4" t="s">
        <v>19</v>
      </c>
      <c r="C133" s="11">
        <v>452.97342699591297</v>
      </c>
      <c r="D133" s="11">
        <v>466.72203014280097</v>
      </c>
      <c r="E133" s="11">
        <v>477.19717660127299</v>
      </c>
      <c r="F133" s="12">
        <v>48.542146434638298</v>
      </c>
      <c r="G133" s="12" t="s">
        <v>12</v>
      </c>
      <c r="H133" s="12" t="s">
        <v>12</v>
      </c>
      <c r="I133" s="12" t="s">
        <v>12</v>
      </c>
      <c r="J133" s="12">
        <v>-0.15766720631505499</v>
      </c>
      <c r="K133" s="12">
        <v>5</v>
      </c>
      <c r="L133" s="12">
        <v>5.0999999999999996</v>
      </c>
      <c r="M133" s="12"/>
      <c r="N133" s="12">
        <v>104.397056294352</v>
      </c>
      <c r="O133" s="12">
        <v>9.11253837062225</v>
      </c>
      <c r="P133" s="13" t="s">
        <v>12</v>
      </c>
      <c r="Q133" s="12">
        <v>-0.14145355273552301</v>
      </c>
      <c r="R133" s="12" t="s">
        <v>12</v>
      </c>
      <c r="S133" s="12" t="s">
        <v>12</v>
      </c>
      <c r="T133" s="12">
        <v>36.299999999999997</v>
      </c>
      <c r="U133" s="12" t="s">
        <v>127</v>
      </c>
      <c r="V133" s="12"/>
      <c r="W133" s="12"/>
      <c r="X133" s="12"/>
      <c r="Y133" s="12"/>
      <c r="Z133" s="12"/>
    </row>
    <row r="134" spans="1:26" x14ac:dyDescent="0.15">
      <c r="A134" s="5">
        <v>2012</v>
      </c>
      <c r="B134" s="5" t="s">
        <v>20</v>
      </c>
      <c r="C134" s="14">
        <v>477.04445486961902</v>
      </c>
      <c r="D134" s="14">
        <v>494.30235211289403</v>
      </c>
      <c r="E134" s="14">
        <v>488.46133394055499</v>
      </c>
      <c r="F134" s="15">
        <v>46.137342343592898</v>
      </c>
      <c r="G134" s="15" t="s">
        <v>12</v>
      </c>
      <c r="H134" s="15" t="s">
        <v>12</v>
      </c>
      <c r="I134" s="15" t="s">
        <v>12</v>
      </c>
      <c r="J134" s="15">
        <v>-0.20004148179519601</v>
      </c>
      <c r="K134" s="15">
        <v>3</v>
      </c>
      <c r="L134" s="15">
        <v>4.2</v>
      </c>
      <c r="M134" s="15">
        <v>3.7</v>
      </c>
      <c r="N134" s="15">
        <v>112.959511203421</v>
      </c>
      <c r="O134" s="15">
        <v>12.413906825803499</v>
      </c>
      <c r="P134" s="10" t="s">
        <v>12</v>
      </c>
      <c r="Q134" s="15">
        <v>0.112008475660225</v>
      </c>
      <c r="R134" s="15" t="s">
        <v>12</v>
      </c>
      <c r="S134" s="15" t="s">
        <v>12</v>
      </c>
      <c r="T134" s="15">
        <v>30.8</v>
      </c>
      <c r="U134" s="15" t="s">
        <v>127</v>
      </c>
      <c r="V134" s="15"/>
      <c r="W134" s="15"/>
      <c r="X134" s="15"/>
      <c r="Y134" s="15"/>
      <c r="Z134" s="15"/>
    </row>
    <row r="135" spans="1:26" x14ac:dyDescent="0.15">
      <c r="A135" s="4">
        <v>2012</v>
      </c>
      <c r="B135" s="4" t="s">
        <v>21</v>
      </c>
      <c r="C135" s="11">
        <v>492.795697508307</v>
      </c>
      <c r="D135" s="11">
        <v>478.15459739129699</v>
      </c>
      <c r="E135" s="11">
        <v>482.52244001748898</v>
      </c>
      <c r="F135" s="12">
        <v>58.482470642434201</v>
      </c>
      <c r="G135" s="12" t="s">
        <v>12</v>
      </c>
      <c r="H135" s="12" t="s">
        <v>12</v>
      </c>
      <c r="I135" s="12" t="s">
        <v>12</v>
      </c>
      <c r="J135" s="12">
        <v>0.49111143237452698</v>
      </c>
      <c r="K135" s="12">
        <v>5</v>
      </c>
      <c r="L135" s="12">
        <v>3.1</v>
      </c>
      <c r="M135" s="12">
        <v>5.4</v>
      </c>
      <c r="N135" s="12">
        <v>85.618847138925403</v>
      </c>
      <c r="O135" s="12">
        <v>10.5251421709266</v>
      </c>
      <c r="P135" s="13" t="s">
        <v>12</v>
      </c>
      <c r="Q135" s="12">
        <v>0.35672594265035901</v>
      </c>
      <c r="R135" s="12" t="s">
        <v>12</v>
      </c>
      <c r="S135" s="12" t="s">
        <v>12</v>
      </c>
      <c r="T135" s="12">
        <v>26.8</v>
      </c>
      <c r="U135" s="12" t="s">
        <v>127</v>
      </c>
      <c r="V135" s="12"/>
      <c r="W135" s="12"/>
      <c r="X135" s="12"/>
      <c r="Y135" s="12"/>
      <c r="Z135" s="12"/>
    </row>
    <row r="136" spans="1:26" x14ac:dyDescent="0.15">
      <c r="A136" s="5">
        <v>2012</v>
      </c>
      <c r="B136" s="5" t="s">
        <v>22</v>
      </c>
      <c r="C136" s="14">
        <v>501.49746019070199</v>
      </c>
      <c r="D136" s="14">
        <v>522.00396026812905</v>
      </c>
      <c r="E136" s="14">
        <v>523.17321009689999</v>
      </c>
      <c r="F136" s="15">
        <v>52.467079293302099</v>
      </c>
      <c r="G136" s="15" t="s">
        <v>12</v>
      </c>
      <c r="H136" s="15" t="s">
        <v>12</v>
      </c>
      <c r="I136" s="15" t="s">
        <v>12</v>
      </c>
      <c r="J136" s="15">
        <v>7.9768630522882703E-2</v>
      </c>
      <c r="K136" s="15">
        <v>5</v>
      </c>
      <c r="L136" s="15">
        <v>3.6</v>
      </c>
      <c r="M136" s="15">
        <v>4.5999999999999996</v>
      </c>
      <c r="N136" s="15">
        <v>108.127678437184</v>
      </c>
      <c r="O136" s="15">
        <v>14.3032103806091</v>
      </c>
      <c r="P136" s="10" t="s">
        <v>12</v>
      </c>
      <c r="Q136" s="15">
        <v>-2.64895225844393E-2</v>
      </c>
      <c r="R136" s="15" t="s">
        <v>12</v>
      </c>
      <c r="S136" s="15" t="s">
        <v>12</v>
      </c>
      <c r="T136" s="15">
        <v>33.200000000000003</v>
      </c>
      <c r="U136" s="15" t="s">
        <v>127</v>
      </c>
      <c r="V136" s="15"/>
      <c r="W136" s="15"/>
      <c r="X136" s="15"/>
      <c r="Y136" s="15"/>
      <c r="Z136" s="15"/>
    </row>
    <row r="137" spans="1:26" x14ac:dyDescent="0.15">
      <c r="A137" s="4">
        <v>2012</v>
      </c>
      <c r="B137" s="4" t="s">
        <v>23</v>
      </c>
      <c r="C137" s="11">
        <v>466.48143036732</v>
      </c>
      <c r="D137" s="11">
        <v>470.07266281958698</v>
      </c>
      <c r="E137" s="11">
        <v>485.80321257056301</v>
      </c>
      <c r="F137" s="12">
        <v>58.629779096318799</v>
      </c>
      <c r="G137" s="12" t="s">
        <v>12</v>
      </c>
      <c r="H137" s="12" t="s">
        <v>12</v>
      </c>
      <c r="I137" s="12" t="s">
        <v>12</v>
      </c>
      <c r="J137" s="12">
        <v>2.46024014559094E-2</v>
      </c>
      <c r="K137" s="12">
        <v>5</v>
      </c>
      <c r="L137" s="12">
        <v>3.7</v>
      </c>
      <c r="M137" s="12">
        <v>3.9</v>
      </c>
      <c r="N137" s="12">
        <v>165.21888418180399</v>
      </c>
      <c r="O137" s="12">
        <v>10.840510045151399</v>
      </c>
      <c r="P137" s="13" t="s">
        <v>12</v>
      </c>
      <c r="Q137" s="12">
        <v>0.41426197326853498</v>
      </c>
      <c r="R137" s="12" t="s">
        <v>12</v>
      </c>
      <c r="S137" s="12" t="s">
        <v>12</v>
      </c>
      <c r="T137" s="12">
        <v>41.3</v>
      </c>
      <c r="U137" s="12" t="s">
        <v>132</v>
      </c>
      <c r="V137" s="12"/>
      <c r="W137" s="12"/>
      <c r="X137" s="12"/>
      <c r="Y137" s="12"/>
      <c r="Z137" s="12"/>
    </row>
    <row r="138" spans="1:26" x14ac:dyDescent="0.15">
      <c r="A138" s="5">
        <v>2012</v>
      </c>
      <c r="B138" s="5" t="s">
        <v>24</v>
      </c>
      <c r="C138" s="14">
        <v>485.32118121405603</v>
      </c>
      <c r="D138" s="14">
        <v>493.54148289396102</v>
      </c>
      <c r="E138" s="14">
        <v>489.75440334375702</v>
      </c>
      <c r="F138" s="15">
        <v>46.724180618617098</v>
      </c>
      <c r="G138" s="15" t="s">
        <v>12</v>
      </c>
      <c r="H138" s="15" t="s">
        <v>12</v>
      </c>
      <c r="I138" s="15" t="s">
        <v>12</v>
      </c>
      <c r="J138" s="15">
        <v>-0.188719166299543</v>
      </c>
      <c r="K138" s="15">
        <v>4</v>
      </c>
      <c r="L138" s="15">
        <v>2.4</v>
      </c>
      <c r="M138" s="15">
        <v>4.9000000000000004</v>
      </c>
      <c r="N138" s="15">
        <v>162.78732169834399</v>
      </c>
      <c r="O138" s="15">
        <v>10.312535392387</v>
      </c>
      <c r="P138" s="10" t="s">
        <v>12</v>
      </c>
      <c r="Q138" s="15">
        <v>-0.214943905661136</v>
      </c>
      <c r="R138" s="15" t="s">
        <v>12</v>
      </c>
      <c r="S138" s="15" t="s">
        <v>12</v>
      </c>
      <c r="T138" s="15">
        <v>35.200000000000003</v>
      </c>
      <c r="U138" s="15" t="s">
        <v>127</v>
      </c>
      <c r="V138" s="15"/>
      <c r="W138" s="15"/>
      <c r="X138" s="15"/>
      <c r="Y138" s="15"/>
      <c r="Z138" s="15"/>
    </row>
    <row r="139" spans="1:26" x14ac:dyDescent="0.15">
      <c r="A139" s="4">
        <v>2012</v>
      </c>
      <c r="B139" s="4" t="s">
        <v>25</v>
      </c>
      <c r="C139" s="11">
        <v>536.40691858537605</v>
      </c>
      <c r="D139" s="11">
        <v>546.735600624006</v>
      </c>
      <c r="E139" s="11">
        <v>538.05148481841297</v>
      </c>
      <c r="F139" s="12">
        <v>50.019374844067897</v>
      </c>
      <c r="G139" s="12" t="s">
        <v>12</v>
      </c>
      <c r="H139" s="12" t="s">
        <v>12</v>
      </c>
      <c r="I139" s="12" t="s">
        <v>12</v>
      </c>
      <c r="J139" s="12">
        <v>-8.0848085987280993E-2</v>
      </c>
      <c r="K139" s="12">
        <v>5</v>
      </c>
      <c r="L139" s="12">
        <v>3.3</v>
      </c>
      <c r="M139" s="12">
        <v>4</v>
      </c>
      <c r="N139" s="12">
        <v>253.71861027154</v>
      </c>
      <c r="O139" s="12">
        <v>11.643193114382701</v>
      </c>
      <c r="P139" s="13" t="s">
        <v>12</v>
      </c>
      <c r="Q139" s="12">
        <v>-0.16092770381959801</v>
      </c>
      <c r="R139" s="12" t="s">
        <v>12</v>
      </c>
      <c r="S139" s="12" t="s">
        <v>12</v>
      </c>
      <c r="T139" s="12">
        <v>32.5</v>
      </c>
      <c r="U139" s="12" t="s">
        <v>129</v>
      </c>
      <c r="V139" s="12"/>
      <c r="W139" s="12"/>
      <c r="X139" s="12"/>
      <c r="Y139" s="12"/>
      <c r="Z139" s="12"/>
    </row>
    <row r="140" spans="1:26" x14ac:dyDescent="0.15">
      <c r="A140" s="5">
        <v>2012</v>
      </c>
      <c r="B140" s="5" t="s">
        <v>26</v>
      </c>
      <c r="C140" s="14">
        <v>553.76665874982803</v>
      </c>
      <c r="D140" s="14">
        <v>537.78762292575095</v>
      </c>
      <c r="E140" s="14">
        <v>535.79049010839105</v>
      </c>
      <c r="F140" s="15">
        <v>53.382990584548303</v>
      </c>
      <c r="G140" s="15" t="s">
        <v>12</v>
      </c>
      <c r="H140" s="15" t="s">
        <v>12</v>
      </c>
      <c r="I140" s="15" t="s">
        <v>12</v>
      </c>
      <c r="J140" s="15">
        <v>-0.24675042595767199</v>
      </c>
      <c r="K140" s="15">
        <v>4</v>
      </c>
      <c r="L140" s="15">
        <v>4</v>
      </c>
      <c r="M140" s="15">
        <v>4.0999999999999996</v>
      </c>
      <c r="N140" s="15">
        <v>364.53442311740002</v>
      </c>
      <c r="O140" s="15">
        <v>16.1146423171385</v>
      </c>
      <c r="P140" s="10" t="s">
        <v>12</v>
      </c>
      <c r="Q140" s="15">
        <v>-0.32019705037871599</v>
      </c>
      <c r="R140" s="15" t="s">
        <v>12</v>
      </c>
      <c r="S140" s="15" t="s">
        <v>12</v>
      </c>
      <c r="T140" s="15" t="s">
        <v>125</v>
      </c>
      <c r="U140" s="15" t="s">
        <v>129</v>
      </c>
      <c r="V140" s="15"/>
      <c r="W140" s="15"/>
      <c r="X140" s="15"/>
      <c r="Y140" s="15"/>
      <c r="Z140" s="15"/>
    </row>
    <row r="141" spans="1:26" x14ac:dyDescent="0.15">
      <c r="A141" s="4">
        <v>2012</v>
      </c>
      <c r="B141" s="4" t="s">
        <v>27</v>
      </c>
      <c r="C141" s="11">
        <v>490.57102183440901</v>
      </c>
      <c r="D141" s="11">
        <v>502.18619364491798</v>
      </c>
      <c r="E141" s="11">
        <v>488.69441408065802</v>
      </c>
      <c r="F141" s="12">
        <v>48.118613452274097</v>
      </c>
      <c r="G141" s="12" t="s">
        <v>12</v>
      </c>
      <c r="H141" s="12" t="s">
        <v>12</v>
      </c>
      <c r="I141" s="12" t="s">
        <v>12</v>
      </c>
      <c r="J141" s="12">
        <v>6.3878901156072906E-2</v>
      </c>
      <c r="K141" s="12">
        <v>6</v>
      </c>
      <c r="L141" s="12">
        <v>5.7</v>
      </c>
      <c r="M141" s="12">
        <v>3.9</v>
      </c>
      <c r="N141" s="12">
        <v>44.0943980357982</v>
      </c>
      <c r="O141" s="12">
        <v>9.9647202864476299</v>
      </c>
      <c r="P141" s="13" t="s">
        <v>12</v>
      </c>
      <c r="Q141" s="12">
        <v>-0.20358692370888601</v>
      </c>
      <c r="R141" s="12" t="s">
        <v>12</v>
      </c>
      <c r="S141" s="12" t="s">
        <v>12</v>
      </c>
      <c r="T141" s="12">
        <v>35.200000000000003</v>
      </c>
      <c r="U141" s="12" t="s">
        <v>127</v>
      </c>
      <c r="V141" s="12"/>
      <c r="W141" s="12"/>
      <c r="X141" s="12"/>
      <c r="Y141" s="12"/>
      <c r="Z141" s="12"/>
    </row>
    <row r="142" spans="1:26" x14ac:dyDescent="0.15">
      <c r="A142" s="5">
        <v>2012</v>
      </c>
      <c r="B142" s="5" t="s">
        <v>28</v>
      </c>
      <c r="C142" s="14">
        <v>478.82327747364599</v>
      </c>
      <c r="D142" s="14">
        <v>495.70008766318301</v>
      </c>
      <c r="E142" s="14">
        <v>477.30661192754098</v>
      </c>
      <c r="F142" s="15">
        <v>49.869013180750201</v>
      </c>
      <c r="G142" s="15" t="s">
        <v>12</v>
      </c>
      <c r="H142" s="15" t="s">
        <v>12</v>
      </c>
      <c r="I142" s="15" t="s">
        <v>12</v>
      </c>
      <c r="J142" s="15">
        <v>5.2362911689845699E-2</v>
      </c>
      <c r="K142" s="15">
        <v>4</v>
      </c>
      <c r="L142" s="15">
        <v>7.1</v>
      </c>
      <c r="M142" s="15">
        <v>4.5</v>
      </c>
      <c r="N142" s="15">
        <v>89.191951827606005</v>
      </c>
      <c r="O142" s="15">
        <v>11.407736152868001</v>
      </c>
      <c r="P142" s="10" t="s">
        <v>12</v>
      </c>
      <c r="Q142" s="15">
        <v>0.13938498103562799</v>
      </c>
      <c r="R142" s="15" t="s">
        <v>12</v>
      </c>
      <c r="S142" s="15" t="s">
        <v>12</v>
      </c>
      <c r="T142" s="15">
        <v>35.1</v>
      </c>
      <c r="U142" s="15" t="s">
        <v>127</v>
      </c>
      <c r="V142" s="15"/>
      <c r="W142" s="15"/>
      <c r="X142" s="15"/>
      <c r="Y142" s="15"/>
      <c r="Z142" s="15"/>
    </row>
    <row r="143" spans="1:26" x14ac:dyDescent="0.15">
      <c r="A143" s="4">
        <v>2012</v>
      </c>
      <c r="B143" s="4" t="s">
        <v>29</v>
      </c>
      <c r="C143" s="11">
        <v>489.84509768726298</v>
      </c>
      <c r="D143" s="11">
        <v>491.21517621529</v>
      </c>
      <c r="E143" s="11">
        <v>487.80704255425701</v>
      </c>
      <c r="F143" s="12">
        <v>49.0895736705424</v>
      </c>
      <c r="G143" s="12" t="s">
        <v>12</v>
      </c>
      <c r="H143" s="12" t="s">
        <v>12</v>
      </c>
      <c r="I143" s="12" t="s">
        <v>12</v>
      </c>
      <c r="J143" s="12">
        <v>-0.38558571850031298</v>
      </c>
      <c r="K143" s="12">
        <v>4</v>
      </c>
      <c r="L143" s="12">
        <v>3.1</v>
      </c>
      <c r="M143" s="12">
        <v>3.7</v>
      </c>
      <c r="N143" s="12">
        <v>239.94239027985199</v>
      </c>
      <c r="O143" s="12">
        <v>9.0465315596483897</v>
      </c>
      <c r="P143" s="13" t="s">
        <v>12</v>
      </c>
      <c r="Q143" s="12">
        <v>0.203606838598476</v>
      </c>
      <c r="R143" s="12" t="s">
        <v>12</v>
      </c>
      <c r="S143" s="12" t="s">
        <v>12</v>
      </c>
      <c r="T143" s="12">
        <v>34.299999999999997</v>
      </c>
      <c r="U143" s="12" t="s">
        <v>127</v>
      </c>
      <c r="V143" s="12"/>
      <c r="W143" s="12"/>
      <c r="X143" s="12"/>
      <c r="Y143" s="12"/>
      <c r="Z143" s="12"/>
    </row>
    <row r="144" spans="1:26" x14ac:dyDescent="0.15">
      <c r="A144" s="5">
        <v>2012</v>
      </c>
      <c r="B144" s="5" t="s">
        <v>30</v>
      </c>
      <c r="C144" s="14">
        <v>413.28146659884698</v>
      </c>
      <c r="D144" s="14">
        <v>414.92014787645502</v>
      </c>
      <c r="E144" s="14">
        <v>423.55376187574097</v>
      </c>
      <c r="F144" s="15">
        <v>39.675571312453201</v>
      </c>
      <c r="G144" s="15" t="s">
        <v>12</v>
      </c>
      <c r="H144" s="15" t="s">
        <v>12</v>
      </c>
      <c r="I144" s="15" t="s">
        <v>12</v>
      </c>
      <c r="J144" s="15">
        <v>0.57321857363358397</v>
      </c>
      <c r="K144" s="15">
        <v>4</v>
      </c>
      <c r="L144" s="15">
        <v>4.3</v>
      </c>
      <c r="M144" s="15">
        <v>4.2</v>
      </c>
      <c r="N144" s="15">
        <v>329.21983981288599</v>
      </c>
      <c r="O144" s="15">
        <v>30.585932317178202</v>
      </c>
      <c r="P144" s="10" t="s">
        <v>12</v>
      </c>
      <c r="Q144" s="15">
        <v>0.101725102800259</v>
      </c>
      <c r="R144" s="15" t="s">
        <v>12</v>
      </c>
      <c r="S144" s="15" t="s">
        <v>12</v>
      </c>
      <c r="T144" s="15">
        <v>49.6</v>
      </c>
      <c r="U144" s="15" t="s">
        <v>128</v>
      </c>
      <c r="V144" s="15"/>
      <c r="W144" s="15"/>
      <c r="X144" s="15"/>
      <c r="Y144" s="15"/>
      <c r="Z144" s="15"/>
    </row>
    <row r="145" spans="1:26" x14ac:dyDescent="0.15">
      <c r="A145" s="4">
        <v>2012</v>
      </c>
      <c r="B145" s="4" t="s">
        <v>31</v>
      </c>
      <c r="C145" s="11">
        <v>522.97175817661798</v>
      </c>
      <c r="D145" s="11">
        <v>522.055822811447</v>
      </c>
      <c r="E145" s="11">
        <v>511.22996538394801</v>
      </c>
      <c r="F145" s="12">
        <v>56.2777351039162</v>
      </c>
      <c r="G145" s="12" t="s">
        <v>12</v>
      </c>
      <c r="H145" s="12" t="s">
        <v>12</v>
      </c>
      <c r="I145" s="12" t="s">
        <v>12</v>
      </c>
      <c r="J145" s="12">
        <v>-0.44646746221545502</v>
      </c>
      <c r="K145" s="12">
        <v>3</v>
      </c>
      <c r="L145" s="12">
        <v>3.1</v>
      </c>
      <c r="M145" s="12">
        <v>3.2</v>
      </c>
      <c r="N145" s="12">
        <v>220.619889857196</v>
      </c>
      <c r="O145" s="12">
        <v>16.761280735582002</v>
      </c>
      <c r="P145" s="13" t="s">
        <v>12</v>
      </c>
      <c r="Q145" s="12">
        <v>-3.16136489167178E-2</v>
      </c>
      <c r="R145" s="12" t="s">
        <v>12</v>
      </c>
      <c r="S145" s="12" t="s">
        <v>12</v>
      </c>
      <c r="T145" s="12">
        <v>27.6</v>
      </c>
      <c r="U145" s="12" t="s">
        <v>127</v>
      </c>
      <c r="V145" s="12"/>
      <c r="W145" s="12"/>
      <c r="X145" s="12"/>
      <c r="Y145" s="12"/>
      <c r="Z145" s="12"/>
    </row>
    <row r="146" spans="1:26" x14ac:dyDescent="0.15">
      <c r="A146" s="5">
        <v>2012</v>
      </c>
      <c r="B146" s="5" t="s">
        <v>32</v>
      </c>
      <c r="C146" s="14">
        <v>499.74990288193197</v>
      </c>
      <c r="D146" s="14">
        <v>515.63631934274804</v>
      </c>
      <c r="E146" s="14">
        <v>512.18679325958794</v>
      </c>
      <c r="F146" s="15">
        <v>55.021772982723903</v>
      </c>
      <c r="G146" s="15" t="s">
        <v>12</v>
      </c>
      <c r="H146" s="15" t="s">
        <v>12</v>
      </c>
      <c r="I146" s="15" t="s">
        <v>12</v>
      </c>
      <c r="J146" s="15">
        <v>0.164981387201245</v>
      </c>
      <c r="K146" s="15">
        <v>4</v>
      </c>
      <c r="L146" s="15">
        <v>4.4000000000000004</v>
      </c>
      <c r="M146" s="15">
        <v>4.4000000000000004</v>
      </c>
      <c r="N146" s="15">
        <v>237.31550681921601</v>
      </c>
      <c r="O146" s="15">
        <v>15.157994864619999</v>
      </c>
      <c r="P146" s="10" t="s">
        <v>12</v>
      </c>
      <c r="Q146" s="15">
        <v>-0.140335855457946</v>
      </c>
      <c r="R146" s="15" t="s">
        <v>12</v>
      </c>
      <c r="S146" s="15" t="s">
        <v>12</v>
      </c>
      <c r="T146" s="15">
        <v>0</v>
      </c>
      <c r="U146" s="15" t="s">
        <v>130</v>
      </c>
      <c r="V146" s="15"/>
      <c r="W146" s="15"/>
      <c r="X146" s="15"/>
      <c r="Y146" s="15"/>
      <c r="Z146" s="15"/>
    </row>
    <row r="147" spans="1:26" x14ac:dyDescent="0.15">
      <c r="A147" s="4">
        <v>2012</v>
      </c>
      <c r="B147" s="4" t="s">
        <v>33</v>
      </c>
      <c r="C147" s="11">
        <v>489.37307036806402</v>
      </c>
      <c r="D147" s="11">
        <v>494.52393549363802</v>
      </c>
      <c r="E147" s="11">
        <v>503.93668577694899</v>
      </c>
      <c r="F147" s="12">
        <v>58.900983686322299</v>
      </c>
      <c r="G147" s="12" t="s">
        <v>12</v>
      </c>
      <c r="H147" s="12" t="s">
        <v>12</v>
      </c>
      <c r="I147" s="12" t="s">
        <v>12</v>
      </c>
      <c r="J147" s="12">
        <v>-3.4542856601177202E-2</v>
      </c>
      <c r="K147" s="12">
        <v>4</v>
      </c>
      <c r="L147" s="12">
        <v>2.8</v>
      </c>
      <c r="M147" s="12">
        <v>4.3</v>
      </c>
      <c r="N147" s="12">
        <v>96.651284870840399</v>
      </c>
      <c r="O147" s="12">
        <v>10.4395235934285</v>
      </c>
      <c r="P147" s="13" t="s">
        <v>12</v>
      </c>
      <c r="Q147" s="12">
        <v>8.3855020506085398E-2</v>
      </c>
      <c r="R147" s="12" t="s">
        <v>12</v>
      </c>
      <c r="S147" s="12" t="s">
        <v>12</v>
      </c>
      <c r="T147" s="12">
        <v>25.7</v>
      </c>
      <c r="U147" s="12" t="s">
        <v>127</v>
      </c>
      <c r="V147" s="12"/>
      <c r="W147" s="12"/>
      <c r="X147" s="12"/>
      <c r="Y147" s="12"/>
      <c r="Z147" s="12"/>
    </row>
    <row r="148" spans="1:26" x14ac:dyDescent="0.15">
      <c r="A148" s="5">
        <v>2012</v>
      </c>
      <c r="B148" s="5" t="s">
        <v>34</v>
      </c>
      <c r="C148" s="14">
        <v>517.50109673868099</v>
      </c>
      <c r="D148" s="14">
        <v>525.81644681878504</v>
      </c>
      <c r="E148" s="14">
        <v>518.18688068084202</v>
      </c>
      <c r="F148" s="15">
        <v>45.071987351801297</v>
      </c>
      <c r="G148" s="15" t="s">
        <v>12</v>
      </c>
      <c r="H148" s="15" t="s">
        <v>12</v>
      </c>
      <c r="I148" s="15" t="s">
        <v>12</v>
      </c>
      <c r="J148" s="15">
        <v>-0.25900525274319502</v>
      </c>
      <c r="K148" s="15">
        <v>4</v>
      </c>
      <c r="L148" s="15">
        <v>3.8</v>
      </c>
      <c r="M148" s="15">
        <v>4.9000000000000004</v>
      </c>
      <c r="N148" s="15">
        <v>95.995603482187306</v>
      </c>
      <c r="O148" s="15">
        <v>9.4278985610787505</v>
      </c>
      <c r="P148" s="10" t="s">
        <v>12</v>
      </c>
      <c r="Q148" s="15">
        <v>-0.32227283082501601</v>
      </c>
      <c r="R148" s="15" t="s">
        <v>12</v>
      </c>
      <c r="S148" s="15" t="s">
        <v>12</v>
      </c>
      <c r="T148" s="15">
        <v>33</v>
      </c>
      <c r="U148" s="15" t="s">
        <v>127</v>
      </c>
      <c r="V148" s="15"/>
      <c r="W148" s="15"/>
      <c r="X148" s="15"/>
      <c r="Y148" s="15"/>
      <c r="Z148" s="15"/>
    </row>
    <row r="149" spans="1:26" x14ac:dyDescent="0.15">
      <c r="A149" s="4">
        <v>2012</v>
      </c>
      <c r="B149" s="4" t="s">
        <v>35</v>
      </c>
      <c r="C149" s="11">
        <v>487.06318111920802</v>
      </c>
      <c r="D149" s="11">
        <v>489.27473296155398</v>
      </c>
      <c r="E149" s="11">
        <v>487.75768734694901</v>
      </c>
      <c r="F149" s="12">
        <v>42.642108560750998</v>
      </c>
      <c r="G149" s="12" t="s">
        <v>12</v>
      </c>
      <c r="H149" s="12" t="s">
        <v>12</v>
      </c>
      <c r="I149" s="12" t="s">
        <v>12</v>
      </c>
      <c r="J149" s="12">
        <v>0.43528975503435902</v>
      </c>
      <c r="K149" s="12">
        <v>4</v>
      </c>
      <c r="L149" s="12"/>
      <c r="M149" s="12">
        <v>3</v>
      </c>
      <c r="N149" s="12">
        <v>181.06307887934099</v>
      </c>
      <c r="O149" s="12">
        <v>8.8517171306857794</v>
      </c>
      <c r="P149" s="13" t="s">
        <v>12</v>
      </c>
      <c r="Q149" s="12">
        <v>3.1023640054993799E-2</v>
      </c>
      <c r="R149" s="12" t="s">
        <v>12</v>
      </c>
      <c r="S149" s="12" t="s">
        <v>12</v>
      </c>
      <c r="T149" s="12">
        <v>36</v>
      </c>
      <c r="U149" s="12" t="s">
        <v>127</v>
      </c>
      <c r="V149" s="12"/>
      <c r="W149" s="12"/>
      <c r="X149" s="12"/>
      <c r="Y149" s="12"/>
      <c r="Z149" s="12"/>
    </row>
    <row r="150" spans="1:26" x14ac:dyDescent="0.15">
      <c r="A150" s="5">
        <v>2012</v>
      </c>
      <c r="B150" s="5" t="s">
        <v>36</v>
      </c>
      <c r="C150" s="14">
        <v>481.64474389864199</v>
      </c>
      <c r="D150" s="14">
        <v>471.19317782033602</v>
      </c>
      <c r="E150" s="14">
        <v>462.76703263033897</v>
      </c>
      <c r="F150" s="15">
        <v>43.046288778947101</v>
      </c>
      <c r="G150" s="15" t="s">
        <v>12</v>
      </c>
      <c r="H150" s="15" t="s">
        <v>12</v>
      </c>
      <c r="I150" s="15" t="s">
        <v>12</v>
      </c>
      <c r="J150" s="15">
        <v>-0.152591130914147</v>
      </c>
      <c r="K150" s="15">
        <v>4</v>
      </c>
      <c r="L150" s="15">
        <v>3.6</v>
      </c>
      <c r="M150" s="15">
        <v>4</v>
      </c>
      <c r="N150" s="15">
        <v>86.469163541157201</v>
      </c>
      <c r="O150" s="15">
        <v>13.2960690600597</v>
      </c>
      <c r="P150" s="10" t="s">
        <v>12</v>
      </c>
      <c r="Q150" s="15">
        <v>-0.31356754878320398</v>
      </c>
      <c r="R150" s="15" t="s">
        <v>12</v>
      </c>
      <c r="S150" s="15" t="s">
        <v>12</v>
      </c>
      <c r="T150" s="15" t="s">
        <v>125</v>
      </c>
      <c r="U150" s="15" t="s">
        <v>127</v>
      </c>
      <c r="V150" s="15"/>
      <c r="W150" s="15"/>
      <c r="X150" s="15"/>
      <c r="Y150" s="15"/>
      <c r="Z150" s="15"/>
    </row>
    <row r="151" spans="1:26" x14ac:dyDescent="0.15">
      <c r="A151" s="4">
        <v>2012</v>
      </c>
      <c r="B151" s="4" t="s">
        <v>37</v>
      </c>
      <c r="C151" s="11">
        <v>501.127422505933</v>
      </c>
      <c r="D151" s="11">
        <v>514.14255600312595</v>
      </c>
      <c r="E151" s="11">
        <v>481.31628351531202</v>
      </c>
      <c r="F151" s="12">
        <v>51.170587324215802</v>
      </c>
      <c r="G151" s="12" t="s">
        <v>12</v>
      </c>
      <c r="H151" s="12" t="s">
        <v>12</v>
      </c>
      <c r="I151" s="12" t="s">
        <v>12</v>
      </c>
      <c r="J151" s="12">
        <v>-0.36592088548610702</v>
      </c>
      <c r="K151" s="12">
        <v>4</v>
      </c>
      <c r="L151" s="12">
        <v>4.0999999999999996</v>
      </c>
      <c r="M151" s="12">
        <v>3.8</v>
      </c>
      <c r="N151" s="12">
        <v>124.403686280499</v>
      </c>
      <c r="O151" s="12">
        <v>10.535218555222301</v>
      </c>
      <c r="P151" s="13" t="s">
        <v>12</v>
      </c>
      <c r="Q151" s="12">
        <v>-6.8536417900004502E-3</v>
      </c>
      <c r="R151" s="12" t="s">
        <v>12</v>
      </c>
      <c r="S151" s="12" t="s">
        <v>12</v>
      </c>
      <c r="T151" s="12">
        <v>25.6</v>
      </c>
      <c r="U151" s="12" t="s">
        <v>127</v>
      </c>
      <c r="V151" s="12"/>
      <c r="W151" s="12"/>
      <c r="X151" s="12"/>
      <c r="Y151" s="12"/>
      <c r="Z151" s="12"/>
    </row>
    <row r="152" spans="1:26" x14ac:dyDescent="0.15">
      <c r="A152" s="5">
        <v>2012</v>
      </c>
      <c r="B152" s="5" t="s">
        <v>38</v>
      </c>
      <c r="C152" s="14">
        <v>484.31929783037498</v>
      </c>
      <c r="D152" s="14">
        <v>496.44582397149401</v>
      </c>
      <c r="E152" s="14">
        <v>487.93918158519199</v>
      </c>
      <c r="F152" s="15">
        <v>46.946895168898799</v>
      </c>
      <c r="G152" s="15" t="s">
        <v>12</v>
      </c>
      <c r="H152" s="15" t="s">
        <v>12</v>
      </c>
      <c r="I152" s="15" t="s">
        <v>12</v>
      </c>
      <c r="J152" s="15">
        <v>0.116843380309337</v>
      </c>
      <c r="K152" s="15">
        <v>4</v>
      </c>
      <c r="L152" s="15">
        <v>3.2</v>
      </c>
      <c r="M152" s="15">
        <v>3.7</v>
      </c>
      <c r="N152" s="15">
        <v>74.676656694494596</v>
      </c>
      <c r="O152" s="15">
        <v>12.5366011258124</v>
      </c>
      <c r="P152" s="10" t="s">
        <v>12</v>
      </c>
      <c r="Q152" s="15">
        <v>0.409184776063306</v>
      </c>
      <c r="R152" s="15" t="s">
        <v>12</v>
      </c>
      <c r="S152" s="15" t="s">
        <v>12</v>
      </c>
      <c r="T152" s="15">
        <v>35.4</v>
      </c>
      <c r="U152" s="15" t="s">
        <v>127</v>
      </c>
      <c r="V152" s="15"/>
      <c r="W152" s="15"/>
      <c r="X152" s="15"/>
      <c r="Y152" s="15"/>
      <c r="Z152" s="15"/>
    </row>
    <row r="153" spans="1:26" x14ac:dyDescent="0.15">
      <c r="A153" s="4">
        <v>2012</v>
      </c>
      <c r="B153" s="4" t="s">
        <v>39</v>
      </c>
      <c r="C153" s="11">
        <v>478.26063585232401</v>
      </c>
      <c r="D153" s="11">
        <v>484.79896659908502</v>
      </c>
      <c r="E153" s="11">
        <v>483.33500568029501</v>
      </c>
      <c r="F153" s="12">
        <v>54.561153208555901</v>
      </c>
      <c r="G153" s="12" t="s">
        <v>12</v>
      </c>
      <c r="H153" s="12" t="s">
        <v>12</v>
      </c>
      <c r="I153" s="12" t="s">
        <v>12</v>
      </c>
      <c r="J153" s="12">
        <v>0.22771976180624301</v>
      </c>
      <c r="K153" s="12">
        <v>3</v>
      </c>
      <c r="L153" s="12">
        <v>3</v>
      </c>
      <c r="M153" s="12">
        <v>3</v>
      </c>
      <c r="N153" s="12">
        <v>102.15445184483799</v>
      </c>
      <c r="O153" s="12">
        <v>12.4590127930429</v>
      </c>
      <c r="P153" s="13" t="s">
        <v>12</v>
      </c>
      <c r="Q153" s="12">
        <v>-4.2454589560297698E-2</v>
      </c>
      <c r="R153" s="12" t="s">
        <v>12</v>
      </c>
      <c r="S153" s="12" t="s">
        <v>12</v>
      </c>
      <c r="T153" s="12">
        <v>27.6</v>
      </c>
      <c r="U153" s="12" t="s">
        <v>127</v>
      </c>
      <c r="V153" s="12"/>
      <c r="W153" s="12"/>
      <c r="X153" s="12"/>
      <c r="Y153" s="12"/>
      <c r="Z153" s="12"/>
    </row>
    <row r="154" spans="1:26" x14ac:dyDescent="0.15">
      <c r="A154" s="5">
        <v>2012</v>
      </c>
      <c r="B154" s="5" t="s">
        <v>40</v>
      </c>
      <c r="C154" s="14">
        <v>530.93100385615105</v>
      </c>
      <c r="D154" s="14">
        <v>515.29752440674099</v>
      </c>
      <c r="E154" s="14">
        <v>509.04024971276601</v>
      </c>
      <c r="F154" s="15">
        <v>55.013893329068097</v>
      </c>
      <c r="G154" s="15" t="s">
        <v>12</v>
      </c>
      <c r="H154" s="15" t="s">
        <v>12</v>
      </c>
      <c r="I154" s="15" t="s">
        <v>12</v>
      </c>
      <c r="J154" s="15">
        <v>-7.2028123081787396E-2</v>
      </c>
      <c r="K154" s="15">
        <v>4</v>
      </c>
      <c r="L154" s="15">
        <v>3.3</v>
      </c>
      <c r="M154" s="15">
        <v>4.4000000000000004</v>
      </c>
      <c r="N154" s="15">
        <v>148.61463077575701</v>
      </c>
      <c r="O154" s="15">
        <v>12.0700917238619</v>
      </c>
      <c r="P154" s="10" t="s">
        <v>12</v>
      </c>
      <c r="Q154" s="15">
        <v>0.426567015276545</v>
      </c>
      <c r="R154" s="15" t="s">
        <v>12</v>
      </c>
      <c r="S154" s="15" t="s">
        <v>12</v>
      </c>
      <c r="T154" s="15">
        <v>31.6</v>
      </c>
      <c r="U154" s="15" t="s">
        <v>127</v>
      </c>
      <c r="V154" s="15"/>
      <c r="W154" s="15"/>
      <c r="X154" s="15"/>
      <c r="Y154" s="15"/>
      <c r="Z154" s="15"/>
    </row>
    <row r="155" spans="1:26" x14ac:dyDescent="0.15">
      <c r="A155" s="4">
        <v>2012</v>
      </c>
      <c r="B155" s="4" t="s">
        <v>41</v>
      </c>
      <c r="C155" s="11">
        <v>447.984415052099</v>
      </c>
      <c r="D155" s="11">
        <v>463.41290982528801</v>
      </c>
      <c r="E155" s="11">
        <v>475.49146628233302</v>
      </c>
      <c r="F155" s="12">
        <v>35.035973192682498</v>
      </c>
      <c r="G155" s="12" t="s">
        <v>12</v>
      </c>
      <c r="H155" s="12" t="s">
        <v>12</v>
      </c>
      <c r="I155" s="12" t="s">
        <v>12</v>
      </c>
      <c r="J155" s="12">
        <v>0.17636484871970401</v>
      </c>
      <c r="K155" s="12">
        <v>4</v>
      </c>
      <c r="L155" s="12">
        <v>3.6</v>
      </c>
      <c r="M155" s="12">
        <v>4.5999999999999996</v>
      </c>
      <c r="N155" s="12">
        <v>298.47943372928199</v>
      </c>
      <c r="O155" s="12">
        <v>17.443498053575301</v>
      </c>
      <c r="P155" s="13" t="s">
        <v>12</v>
      </c>
      <c r="Q155" s="12">
        <v>0.124074461076919</v>
      </c>
      <c r="R155" s="12" t="s">
        <v>12</v>
      </c>
      <c r="S155" s="12" t="s">
        <v>12</v>
      </c>
      <c r="T155" s="12">
        <v>40.200000000000003</v>
      </c>
      <c r="U155" s="12" t="s">
        <v>132</v>
      </c>
      <c r="V155" s="12"/>
      <c r="W155" s="12"/>
      <c r="X155" s="12"/>
      <c r="Y155" s="12"/>
      <c r="Z155" s="12"/>
    </row>
    <row r="156" spans="1:26" x14ac:dyDescent="0.15">
      <c r="A156" s="5">
        <v>2012</v>
      </c>
      <c r="B156" s="5" t="s">
        <v>42</v>
      </c>
      <c r="C156" s="14">
        <v>493.93423096795601</v>
      </c>
      <c r="D156" s="14">
        <v>514.12932195946996</v>
      </c>
      <c r="E156" s="14">
        <v>499.32311527682799</v>
      </c>
      <c r="F156" s="15">
        <v>55.592350627108402</v>
      </c>
      <c r="G156" s="15" t="s">
        <v>12</v>
      </c>
      <c r="H156" s="15" t="s">
        <v>12</v>
      </c>
      <c r="I156" s="15" t="s">
        <v>12</v>
      </c>
      <c r="J156" s="15">
        <v>0.33798463882254198</v>
      </c>
      <c r="K156" s="15">
        <v>4</v>
      </c>
      <c r="L156" s="15">
        <v>5.0999999999999996</v>
      </c>
      <c r="M156" s="15">
        <v>4</v>
      </c>
      <c r="N156" s="15">
        <v>352.57548834343498</v>
      </c>
      <c r="O156" s="15">
        <v>14.792579336353301</v>
      </c>
      <c r="P156" s="10" t="s">
        <v>12</v>
      </c>
      <c r="Q156" s="15">
        <v>-2.4623875876328801E-2</v>
      </c>
      <c r="R156" s="15" t="s">
        <v>12</v>
      </c>
      <c r="S156" s="15" t="s">
        <v>12</v>
      </c>
      <c r="T156" s="15">
        <v>33.1</v>
      </c>
      <c r="U156" s="15" t="s">
        <v>127</v>
      </c>
      <c r="V156" s="15"/>
      <c r="W156" s="15"/>
      <c r="X156" s="15"/>
      <c r="Y156" s="15"/>
      <c r="Z156" s="15"/>
    </row>
    <row r="157" spans="1:26" x14ac:dyDescent="0.15">
      <c r="A157" s="4">
        <v>2012</v>
      </c>
      <c r="B157" s="4" t="s">
        <v>43</v>
      </c>
      <c r="C157" s="11">
        <v>481.36678631030099</v>
      </c>
      <c r="D157" s="11">
        <v>497.40981237084497</v>
      </c>
      <c r="E157" s="11">
        <v>497.58171804388502</v>
      </c>
      <c r="F157" s="12">
        <v>54.322129215521898</v>
      </c>
      <c r="G157" s="12" t="s">
        <v>12</v>
      </c>
      <c r="H157" s="12" t="s">
        <v>12</v>
      </c>
      <c r="I157" s="12" t="s">
        <v>12</v>
      </c>
      <c r="J157" s="12">
        <v>0.178596092119189</v>
      </c>
      <c r="K157" s="12">
        <v>4</v>
      </c>
      <c r="L157" s="12">
        <v>4.0999999999999996</v>
      </c>
      <c r="M157" s="12">
        <v>4.0999999999999996</v>
      </c>
      <c r="N157" s="12">
        <v>361.190367060386</v>
      </c>
      <c r="O157" s="12">
        <v>17.421681967820799</v>
      </c>
      <c r="P157" s="13" t="s">
        <v>12</v>
      </c>
      <c r="Q157" s="12">
        <v>-4.5157451743616898E-2</v>
      </c>
      <c r="R157" s="12" t="s">
        <v>12</v>
      </c>
      <c r="S157" s="12" t="s">
        <v>12</v>
      </c>
      <c r="T157" s="12">
        <v>41.2</v>
      </c>
      <c r="U157" s="12" t="s">
        <v>128</v>
      </c>
      <c r="V157" s="12"/>
      <c r="W157" s="12"/>
      <c r="X157" s="12"/>
      <c r="Y157" s="12"/>
      <c r="Z157" s="12"/>
    </row>
    <row r="158" spans="1:26" x14ac:dyDescent="0.15">
      <c r="A158" s="5">
        <v>2009</v>
      </c>
      <c r="B158" s="5" t="s">
        <v>4</v>
      </c>
      <c r="C158" s="14">
        <v>491.71857986315302</v>
      </c>
      <c r="D158" s="14">
        <v>497.72256440588001</v>
      </c>
      <c r="E158" s="14">
        <v>490.34379242242301</v>
      </c>
      <c r="F158" s="15">
        <v>49.010175894067601</v>
      </c>
      <c r="G158" s="15" t="s">
        <v>12</v>
      </c>
      <c r="H158" s="15" t="s">
        <v>12</v>
      </c>
      <c r="I158" s="15">
        <v>3.6285070466197403E-2</v>
      </c>
      <c r="J158" s="15" t="s">
        <v>12</v>
      </c>
      <c r="K158" s="15">
        <v>4.1559412597864096</v>
      </c>
      <c r="L158" s="15">
        <v>3.9541751773090099</v>
      </c>
      <c r="M158" s="15">
        <v>4.2031086845769101</v>
      </c>
      <c r="N158" s="15">
        <v>162.690851253148</v>
      </c>
      <c r="O158" s="15">
        <v>13.9335449797536</v>
      </c>
      <c r="P158" s="10" t="s">
        <v>12</v>
      </c>
      <c r="Q158" s="15" t="s">
        <v>12</v>
      </c>
      <c r="R158" s="15" t="s">
        <v>12</v>
      </c>
      <c r="S158" s="15" t="s">
        <v>12</v>
      </c>
      <c r="T158" s="15" t="s">
        <v>125</v>
      </c>
      <c r="U158" s="15" t="s">
        <v>125</v>
      </c>
      <c r="V158" s="15"/>
      <c r="W158" s="15"/>
      <c r="X158" s="15"/>
      <c r="Y158" s="15"/>
      <c r="Z158" s="15"/>
    </row>
    <row r="159" spans="1:26" x14ac:dyDescent="0.15">
      <c r="A159" s="4">
        <v>2009</v>
      </c>
      <c r="B159" s="4" t="s">
        <v>5</v>
      </c>
      <c r="C159" s="11">
        <v>514.34046249331504</v>
      </c>
      <c r="D159" s="11">
        <v>527.27053393684696</v>
      </c>
      <c r="E159" s="11">
        <v>514.90065528206105</v>
      </c>
      <c r="F159" s="12">
        <v>53.239646700833802</v>
      </c>
      <c r="G159" s="12" t="s">
        <v>12</v>
      </c>
      <c r="H159" s="12" t="s">
        <v>12</v>
      </c>
      <c r="I159" s="12" t="s">
        <v>12</v>
      </c>
      <c r="J159" s="12" t="s">
        <v>12</v>
      </c>
      <c r="K159" s="12">
        <v>4.4439752050935803</v>
      </c>
      <c r="L159" s="12">
        <v>3.85492218849555</v>
      </c>
      <c r="M159" s="12">
        <v>4.4099135448351596</v>
      </c>
      <c r="N159" s="12">
        <v>169.82301451882699</v>
      </c>
      <c r="O159" s="12">
        <v>13.435408683744599</v>
      </c>
      <c r="P159" s="13" t="s">
        <v>12</v>
      </c>
      <c r="Q159" s="12" t="s">
        <v>12</v>
      </c>
      <c r="R159" s="12" t="s">
        <v>12</v>
      </c>
      <c r="S159" s="12" t="s">
        <v>12</v>
      </c>
      <c r="T159" s="12">
        <v>0</v>
      </c>
      <c r="U159" s="12" t="s">
        <v>130</v>
      </c>
      <c r="V159" s="12"/>
      <c r="W159" s="12"/>
      <c r="X159" s="12"/>
      <c r="Y159" s="12"/>
      <c r="Z159" s="12"/>
    </row>
    <row r="160" spans="1:26" x14ac:dyDescent="0.15">
      <c r="A160" s="5">
        <v>2009</v>
      </c>
      <c r="B160" s="5" t="s">
        <v>6</v>
      </c>
      <c r="C160" s="14">
        <v>495.90865525192498</v>
      </c>
      <c r="D160" s="14">
        <v>494.32767315443903</v>
      </c>
      <c r="E160" s="14">
        <v>470.28363210139997</v>
      </c>
      <c r="F160" s="15">
        <v>48.361829126594301</v>
      </c>
      <c r="G160" s="15" t="s">
        <v>12</v>
      </c>
      <c r="H160" s="15" t="s">
        <v>12</v>
      </c>
      <c r="I160" s="15" t="s">
        <v>12</v>
      </c>
      <c r="J160" s="15" t="s">
        <v>12</v>
      </c>
      <c r="K160" s="15">
        <v>3.1120697797752799</v>
      </c>
      <c r="L160" s="15">
        <v>3.8950672510017501</v>
      </c>
      <c r="M160" s="15">
        <v>2.8202629268407802</v>
      </c>
      <c r="N160" s="15">
        <v>127.86392293777099</v>
      </c>
      <c r="O160" s="15">
        <v>11.1659008438056</v>
      </c>
      <c r="P160" s="10" t="s">
        <v>12</v>
      </c>
      <c r="Q160" s="15" t="s">
        <v>12</v>
      </c>
      <c r="R160" s="15" t="s">
        <v>12</v>
      </c>
      <c r="S160" s="15" t="s">
        <v>12</v>
      </c>
      <c r="T160" s="15">
        <v>31.5</v>
      </c>
      <c r="U160" s="15" t="s">
        <v>127</v>
      </c>
      <c r="V160" s="15"/>
      <c r="W160" s="15"/>
      <c r="X160" s="15"/>
      <c r="Y160" s="15"/>
      <c r="Z160" s="15"/>
    </row>
    <row r="161" spans="1:26" x14ac:dyDescent="0.15">
      <c r="A161" s="4">
        <v>2009</v>
      </c>
      <c r="B161" s="4" t="s">
        <v>7</v>
      </c>
      <c r="C161" s="11">
        <v>515.27227692113399</v>
      </c>
      <c r="D161" s="11">
        <v>506.57552613935798</v>
      </c>
      <c r="E161" s="11">
        <v>505.94579616412102</v>
      </c>
      <c r="F161" s="12">
        <v>50.1078736464071</v>
      </c>
      <c r="G161" s="12" t="s">
        <v>12</v>
      </c>
      <c r="H161" s="12" t="s">
        <v>12</v>
      </c>
      <c r="I161" s="12" t="s">
        <v>12</v>
      </c>
      <c r="J161" s="12" t="s">
        <v>12</v>
      </c>
      <c r="K161" s="12">
        <v>4.0824549091609903</v>
      </c>
      <c r="L161" s="12">
        <v>3.4897661944245901</v>
      </c>
      <c r="M161" s="12">
        <v>4.2295100422507499</v>
      </c>
      <c r="N161" s="12">
        <v>125.770110466443</v>
      </c>
      <c r="O161" s="12">
        <v>9.1876181818118692</v>
      </c>
      <c r="P161" s="13" t="s">
        <v>12</v>
      </c>
      <c r="Q161" s="12" t="s">
        <v>12</v>
      </c>
      <c r="R161" s="12" t="s">
        <v>12</v>
      </c>
      <c r="S161" s="12" t="s">
        <v>12</v>
      </c>
      <c r="T161" s="12">
        <v>28.6</v>
      </c>
      <c r="U161" s="12" t="s">
        <v>127</v>
      </c>
      <c r="V161" s="12"/>
      <c r="W161" s="12"/>
      <c r="X161" s="12"/>
      <c r="Y161" s="12"/>
      <c r="Z161" s="12"/>
    </row>
    <row r="162" spans="1:26" x14ac:dyDescent="0.15">
      <c r="A162" s="5">
        <v>2009</v>
      </c>
      <c r="B162" s="5" t="s">
        <v>8</v>
      </c>
      <c r="C162" s="14">
        <v>526.80515277156996</v>
      </c>
      <c r="D162" s="14">
        <v>528.70495299930201</v>
      </c>
      <c r="E162" s="14">
        <v>524.24183332320899</v>
      </c>
      <c r="F162" s="15">
        <v>53.258530498795302</v>
      </c>
      <c r="G162" s="15" t="s">
        <v>12</v>
      </c>
      <c r="H162" s="15" t="s">
        <v>12</v>
      </c>
      <c r="I162" s="15" t="s">
        <v>12</v>
      </c>
      <c r="J162" s="15" t="s">
        <v>12</v>
      </c>
      <c r="K162" s="15">
        <v>4.48816661385366</v>
      </c>
      <c r="L162" s="15">
        <v>4.3833519422876996</v>
      </c>
      <c r="M162" s="15">
        <v>4.5533547989911201</v>
      </c>
      <c r="N162" s="15">
        <v>253.82175504720701</v>
      </c>
      <c r="O162" s="15">
        <v>15.7145050520302</v>
      </c>
      <c r="P162" s="10" t="s">
        <v>12</v>
      </c>
      <c r="Q162" s="15" t="s">
        <v>12</v>
      </c>
      <c r="R162" s="15" t="s">
        <v>12</v>
      </c>
      <c r="S162" s="15" t="s">
        <v>12</v>
      </c>
      <c r="T162" s="15">
        <v>34</v>
      </c>
      <c r="U162" s="15" t="s">
        <v>128</v>
      </c>
      <c r="V162" s="15"/>
      <c r="W162" s="15"/>
      <c r="X162" s="15"/>
      <c r="Y162" s="15"/>
      <c r="Z162" s="15"/>
    </row>
    <row r="163" spans="1:26" x14ac:dyDescent="0.15">
      <c r="A163" s="4">
        <v>2009</v>
      </c>
      <c r="B163" s="4" t="s">
        <v>9</v>
      </c>
      <c r="C163" s="11">
        <v>421.06047317521302</v>
      </c>
      <c r="D163" s="11">
        <v>447.46736017641899</v>
      </c>
      <c r="E163" s="11">
        <v>449.36960714807998</v>
      </c>
      <c r="F163" s="12">
        <v>43.053094078171497</v>
      </c>
      <c r="G163" s="12" t="s">
        <v>12</v>
      </c>
      <c r="H163" s="12" t="s">
        <v>12</v>
      </c>
      <c r="I163" s="12">
        <v>5.0575925340312501E-2</v>
      </c>
      <c r="J163" s="12" t="s">
        <v>12</v>
      </c>
      <c r="K163" s="12">
        <v>5.4078791198830203</v>
      </c>
      <c r="L163" s="12">
        <v>5.0610223931129896</v>
      </c>
      <c r="M163" s="12">
        <v>5.3032212618623804</v>
      </c>
      <c r="N163" s="12">
        <v>185.46742014546399</v>
      </c>
      <c r="O163" s="12">
        <v>25</v>
      </c>
      <c r="P163" s="13" t="s">
        <v>12</v>
      </c>
      <c r="Q163" s="12" t="s">
        <v>12</v>
      </c>
      <c r="R163" s="12" t="s">
        <v>12</v>
      </c>
      <c r="S163" s="12" t="s">
        <v>12</v>
      </c>
      <c r="T163" s="12">
        <v>47.4</v>
      </c>
      <c r="U163" s="12" t="s">
        <v>131</v>
      </c>
      <c r="V163" s="12"/>
      <c r="W163" s="12"/>
      <c r="X163" s="12"/>
      <c r="Y163" s="12"/>
      <c r="Z163" s="12"/>
    </row>
    <row r="164" spans="1:26" x14ac:dyDescent="0.15">
      <c r="A164" s="5">
        <v>2009</v>
      </c>
      <c r="B164" s="5" t="s">
        <v>10</v>
      </c>
      <c r="C164" s="14">
        <v>380.84821487918498</v>
      </c>
      <c r="D164" s="14">
        <v>401.75011504662098</v>
      </c>
      <c r="E164" s="14">
        <v>413.18149910983999</v>
      </c>
      <c r="F164" s="15">
        <v>41.567633607920797</v>
      </c>
      <c r="G164" s="15" t="s">
        <v>12</v>
      </c>
      <c r="H164" s="15" t="s">
        <v>12</v>
      </c>
      <c r="I164" s="15" t="s">
        <v>12</v>
      </c>
      <c r="J164" s="15" t="s">
        <v>12</v>
      </c>
      <c r="K164" s="15">
        <v>3.8601648346903499</v>
      </c>
      <c r="L164" s="15">
        <v>3.31436953337032</v>
      </c>
      <c r="M164" s="15">
        <v>3.6233403443358898</v>
      </c>
      <c r="N164" s="15">
        <v>129.00058759225701</v>
      </c>
      <c r="O164" s="15">
        <v>27.671474206768099</v>
      </c>
      <c r="P164" s="10" t="s">
        <v>12</v>
      </c>
      <c r="Q164" s="15" t="s">
        <v>12</v>
      </c>
      <c r="R164" s="15" t="s">
        <v>12</v>
      </c>
      <c r="S164" s="15" t="s">
        <v>12</v>
      </c>
      <c r="T164" s="15" t="s">
        <v>125</v>
      </c>
      <c r="U164" s="15" t="s">
        <v>131</v>
      </c>
      <c r="V164" s="15"/>
      <c r="W164" s="15"/>
      <c r="X164" s="15"/>
      <c r="Y164" s="15"/>
      <c r="Z164" s="15"/>
    </row>
    <row r="165" spans="1:26" x14ac:dyDescent="0.15">
      <c r="A165" s="4">
        <v>2009</v>
      </c>
      <c r="B165" s="4" t="s">
        <v>11</v>
      </c>
      <c r="C165" s="11" t="s">
        <v>12</v>
      </c>
      <c r="D165" s="11" t="s">
        <v>12</v>
      </c>
      <c r="E165" s="11" t="s">
        <v>12</v>
      </c>
      <c r="F165" s="12" t="s">
        <v>12</v>
      </c>
      <c r="G165" s="12" t="s">
        <v>12</v>
      </c>
      <c r="H165" s="12" t="s">
        <v>12</v>
      </c>
      <c r="I165" s="12" t="s">
        <v>12</v>
      </c>
      <c r="J165" s="12" t="s">
        <v>12</v>
      </c>
      <c r="K165" s="12" t="s">
        <v>12</v>
      </c>
      <c r="L165" s="12" t="s">
        <v>12</v>
      </c>
      <c r="M165" s="12" t="s">
        <v>12</v>
      </c>
      <c r="N165" s="12" t="s">
        <v>12</v>
      </c>
      <c r="O165" s="12" t="s">
        <v>12</v>
      </c>
      <c r="P165" s="13" t="s">
        <v>12</v>
      </c>
      <c r="Q165" s="12" t="s">
        <v>12</v>
      </c>
      <c r="R165" s="12" t="s">
        <v>12</v>
      </c>
      <c r="S165" s="12" t="s">
        <v>12</v>
      </c>
      <c r="T165" s="12" t="s">
        <v>125</v>
      </c>
      <c r="U165" s="12" t="s">
        <v>128</v>
      </c>
      <c r="V165" s="12"/>
      <c r="W165" s="12"/>
      <c r="X165" s="12"/>
      <c r="Y165" s="12"/>
      <c r="Z165" s="12"/>
    </row>
    <row r="166" spans="1:26" x14ac:dyDescent="0.15">
      <c r="A166" s="5">
        <v>2009</v>
      </c>
      <c r="B166" s="5" t="s">
        <v>13</v>
      </c>
      <c r="C166" s="14">
        <v>492.81409408037098</v>
      </c>
      <c r="D166" s="14">
        <v>500.49706594167702</v>
      </c>
      <c r="E166" s="14">
        <v>478.18672044853002</v>
      </c>
      <c r="F166" s="15">
        <v>48.091353992619702</v>
      </c>
      <c r="G166" s="15" t="s">
        <v>12</v>
      </c>
      <c r="H166" s="15" t="s">
        <v>12</v>
      </c>
      <c r="I166" s="15" t="s">
        <v>12</v>
      </c>
      <c r="J166" s="15" t="s">
        <v>12</v>
      </c>
      <c r="K166" s="15">
        <v>4.1518381139046197</v>
      </c>
      <c r="L166" s="15">
        <v>5.2698763659502603</v>
      </c>
      <c r="M166" s="15">
        <v>4.0241770692409498</v>
      </c>
      <c r="N166" s="15">
        <v>89.663989932446398</v>
      </c>
      <c r="O166" s="15">
        <v>13.236252393986801</v>
      </c>
      <c r="P166" s="10" t="s">
        <v>12</v>
      </c>
      <c r="Q166" s="15" t="s">
        <v>12</v>
      </c>
      <c r="R166" s="15" t="s">
        <v>12</v>
      </c>
      <c r="S166" s="15" t="s">
        <v>12</v>
      </c>
      <c r="T166" s="15">
        <v>26.2</v>
      </c>
      <c r="U166" s="15" t="s">
        <v>127</v>
      </c>
      <c r="V166" s="15"/>
      <c r="W166" s="15"/>
      <c r="X166" s="15"/>
      <c r="Y166" s="15"/>
      <c r="Z166" s="15"/>
    </row>
    <row r="167" spans="1:26" x14ac:dyDescent="0.15">
      <c r="A167" s="4">
        <v>2009</v>
      </c>
      <c r="B167" s="4" t="s">
        <v>14</v>
      </c>
      <c r="C167" s="11">
        <v>503.27814736227799</v>
      </c>
      <c r="D167" s="11">
        <v>499.33697468707499</v>
      </c>
      <c r="E167" s="11">
        <v>494.91616167816301</v>
      </c>
      <c r="F167" s="12">
        <v>50.9340685017401</v>
      </c>
      <c r="G167" s="12" t="s">
        <v>12</v>
      </c>
      <c r="H167" s="12" t="s">
        <v>12</v>
      </c>
      <c r="I167" s="12">
        <v>0.22</v>
      </c>
      <c r="J167" s="12" t="s">
        <v>12</v>
      </c>
      <c r="K167" s="12">
        <v>4.3741346488728396</v>
      </c>
      <c r="L167" s="12">
        <v>3.4662604766552798</v>
      </c>
      <c r="M167" s="12">
        <v>6.31093299207327</v>
      </c>
      <c r="N167" s="12">
        <v>51.503437217459798</v>
      </c>
      <c r="O167" s="12">
        <v>11.8825716718506</v>
      </c>
      <c r="P167" s="13" t="s">
        <v>12</v>
      </c>
      <c r="Q167" s="12" t="s">
        <v>12</v>
      </c>
      <c r="R167" s="12" t="s">
        <v>12</v>
      </c>
      <c r="S167" s="12" t="s">
        <v>12</v>
      </c>
      <c r="T167" s="12">
        <v>26.7</v>
      </c>
      <c r="U167" s="12" t="s">
        <v>127</v>
      </c>
      <c r="V167" s="12"/>
      <c r="W167" s="12"/>
      <c r="X167" s="12"/>
      <c r="Y167" s="12"/>
      <c r="Z167" s="12"/>
    </row>
    <row r="168" spans="1:26" x14ac:dyDescent="0.15">
      <c r="A168" s="5">
        <v>2009</v>
      </c>
      <c r="B168" s="5" t="s">
        <v>15</v>
      </c>
      <c r="C168" s="14">
        <v>512.10419739310601</v>
      </c>
      <c r="D168" s="14">
        <v>527.83175605917904</v>
      </c>
      <c r="E168" s="14">
        <v>500.96186544679603</v>
      </c>
      <c r="F168" s="15">
        <v>50.155986618533902</v>
      </c>
      <c r="G168" s="15" t="s">
        <v>12</v>
      </c>
      <c r="H168" s="15" t="s">
        <v>12</v>
      </c>
      <c r="I168" s="15" t="s">
        <v>12</v>
      </c>
      <c r="J168" s="15" t="s">
        <v>12</v>
      </c>
      <c r="K168" s="15">
        <v>5.01743690098104</v>
      </c>
      <c r="L168" s="15">
        <v>4.2958175334400801</v>
      </c>
      <c r="M168" s="15">
        <v>4.4861466950567896</v>
      </c>
      <c r="N168" s="15">
        <v>55.074531258425999</v>
      </c>
      <c r="O168" s="15">
        <v>11.8915358605969</v>
      </c>
      <c r="P168" s="10" t="s">
        <v>12</v>
      </c>
      <c r="Q168" s="15" t="s">
        <v>12</v>
      </c>
      <c r="R168" s="15" t="s">
        <v>12</v>
      </c>
      <c r="S168" s="15" t="s">
        <v>12</v>
      </c>
      <c r="T168" s="15">
        <v>31.4</v>
      </c>
      <c r="U168" s="15" t="s">
        <v>127</v>
      </c>
      <c r="V168" s="15"/>
      <c r="W168" s="15"/>
      <c r="X168" s="15"/>
      <c r="Y168" s="15"/>
      <c r="Z168" s="15"/>
    </row>
    <row r="169" spans="1:26" x14ac:dyDescent="0.15">
      <c r="A169" s="4">
        <v>2009</v>
      </c>
      <c r="B169" s="4" t="s">
        <v>16</v>
      </c>
      <c r="C169" s="11">
        <v>540.50434817230098</v>
      </c>
      <c r="D169" s="11">
        <v>554.07950978242297</v>
      </c>
      <c r="E169" s="11">
        <v>535.87798452526897</v>
      </c>
      <c r="F169" s="12">
        <v>53.068509892031301</v>
      </c>
      <c r="G169" s="12" t="s">
        <v>12</v>
      </c>
      <c r="H169" s="12" t="s">
        <v>12</v>
      </c>
      <c r="I169" s="12" t="s">
        <v>12</v>
      </c>
      <c r="J169" s="12" t="s">
        <v>12</v>
      </c>
      <c r="K169" s="12">
        <v>3.6711453384946799</v>
      </c>
      <c r="L169" s="12">
        <v>4.1383008017296303</v>
      </c>
      <c r="M169" s="12">
        <v>3.2131382872110499</v>
      </c>
      <c r="N169" s="12">
        <v>120.719275628484</v>
      </c>
      <c r="O169" s="12">
        <v>11.2156851274383</v>
      </c>
      <c r="P169" s="13" t="s">
        <v>12</v>
      </c>
      <c r="Q169" s="12" t="s">
        <v>12</v>
      </c>
      <c r="R169" s="12" t="s">
        <v>12</v>
      </c>
      <c r="S169" s="12" t="s">
        <v>12</v>
      </c>
      <c r="T169" s="12">
        <v>27.5</v>
      </c>
      <c r="U169" s="12" t="s">
        <v>127</v>
      </c>
      <c r="V169" s="12"/>
      <c r="W169" s="12"/>
      <c r="X169" s="12"/>
      <c r="Y169" s="12"/>
      <c r="Z169" s="12"/>
    </row>
    <row r="170" spans="1:26" x14ac:dyDescent="0.15">
      <c r="A170" s="5">
        <v>2009</v>
      </c>
      <c r="B170" s="5" t="s">
        <v>17</v>
      </c>
      <c r="C170" s="14">
        <v>496.78231031620697</v>
      </c>
      <c r="D170" s="14">
        <v>498.226893935058</v>
      </c>
      <c r="E170" s="14">
        <v>495.61654146316602</v>
      </c>
      <c r="F170" s="15">
        <v>46.906422540030199</v>
      </c>
      <c r="G170" s="15" t="s">
        <v>12</v>
      </c>
      <c r="H170" s="15" t="s">
        <v>12</v>
      </c>
      <c r="I170" s="15" t="s">
        <v>12</v>
      </c>
      <c r="J170" s="15" t="s">
        <v>12</v>
      </c>
      <c r="K170" s="15">
        <v>3.8072446372687998</v>
      </c>
      <c r="L170" s="15">
        <v>3.3947076143257</v>
      </c>
      <c r="M170" s="15">
        <v>4.15002354699131</v>
      </c>
      <c r="N170" s="15" t="s">
        <v>12</v>
      </c>
      <c r="O170" s="15" t="s">
        <v>12</v>
      </c>
      <c r="P170" s="10" t="s">
        <v>12</v>
      </c>
      <c r="Q170" s="15" t="s">
        <v>12</v>
      </c>
      <c r="R170" s="15" t="s">
        <v>12</v>
      </c>
      <c r="S170" s="15" t="s">
        <v>12</v>
      </c>
      <c r="T170" s="15">
        <v>32.700000000000003</v>
      </c>
      <c r="U170" s="15" t="s">
        <v>127</v>
      </c>
      <c r="V170" s="15"/>
      <c r="W170" s="15"/>
      <c r="X170" s="15"/>
      <c r="Y170" s="15"/>
      <c r="Z170" s="15"/>
    </row>
    <row r="171" spans="1:26" x14ac:dyDescent="0.15">
      <c r="A171" s="4">
        <v>2009</v>
      </c>
      <c r="B171" s="4" t="s">
        <v>18</v>
      </c>
      <c r="C171" s="11">
        <v>512.77764253751502</v>
      </c>
      <c r="D171" s="11">
        <v>520.40534953520103</v>
      </c>
      <c r="E171" s="11">
        <v>497.30505802512499</v>
      </c>
      <c r="F171" s="12">
        <v>48.912976373664698</v>
      </c>
      <c r="G171" s="12" t="s">
        <v>12</v>
      </c>
      <c r="H171" s="12" t="s">
        <v>12</v>
      </c>
      <c r="I171" s="12">
        <v>-0.04</v>
      </c>
      <c r="J171" s="12" t="s">
        <v>12</v>
      </c>
      <c r="K171" s="12">
        <v>3.9899577512783599</v>
      </c>
      <c r="L171" s="12">
        <v>5</v>
      </c>
      <c r="M171" s="12">
        <v>3.8929729093475198</v>
      </c>
      <c r="N171" s="12">
        <v>93.995361787349907</v>
      </c>
      <c r="O171" s="12">
        <v>15.9100727332478</v>
      </c>
      <c r="P171" s="13" t="s">
        <v>12</v>
      </c>
      <c r="Q171" s="12" t="s">
        <v>12</v>
      </c>
      <c r="R171" s="12" t="s">
        <v>12</v>
      </c>
      <c r="S171" s="12" t="s">
        <v>12</v>
      </c>
      <c r="T171" s="12">
        <v>30.5</v>
      </c>
      <c r="U171" s="12" t="s">
        <v>127</v>
      </c>
      <c r="V171" s="12"/>
      <c r="W171" s="12"/>
      <c r="X171" s="12"/>
      <c r="Y171" s="12"/>
      <c r="Z171" s="12"/>
    </row>
    <row r="172" spans="1:26" x14ac:dyDescent="0.15">
      <c r="A172" s="5">
        <v>2009</v>
      </c>
      <c r="B172" s="5" t="s">
        <v>19</v>
      </c>
      <c r="C172" s="14">
        <v>466.096372661163</v>
      </c>
      <c r="D172" s="14">
        <v>470.11576423397702</v>
      </c>
      <c r="E172" s="14">
        <v>482.77624179793298</v>
      </c>
      <c r="F172" s="15">
        <v>48.748088471157097</v>
      </c>
      <c r="G172" s="15" t="s">
        <v>12</v>
      </c>
      <c r="H172" s="15" t="s">
        <v>12</v>
      </c>
      <c r="I172" s="15" t="s">
        <v>12</v>
      </c>
      <c r="J172" s="15" t="s">
        <v>12</v>
      </c>
      <c r="K172" s="15">
        <v>4.3630275517252901</v>
      </c>
      <c r="L172" s="15">
        <v>4.7632736485417402</v>
      </c>
      <c r="M172" s="15">
        <v>4.3423346352165604</v>
      </c>
      <c r="N172" s="15">
        <v>96.607717290638902</v>
      </c>
      <c r="O172" s="15">
        <v>8.2777522924997804</v>
      </c>
      <c r="P172" s="10" t="s">
        <v>12</v>
      </c>
      <c r="Q172" s="15" t="s">
        <v>12</v>
      </c>
      <c r="R172" s="15" t="s">
        <v>12</v>
      </c>
      <c r="S172" s="15" t="s">
        <v>12</v>
      </c>
      <c r="T172" s="15">
        <v>33.6</v>
      </c>
      <c r="U172" s="15" t="s">
        <v>127</v>
      </c>
      <c r="V172" s="15"/>
      <c r="W172" s="15"/>
      <c r="X172" s="15"/>
      <c r="Y172" s="15"/>
      <c r="Z172" s="15"/>
    </row>
    <row r="173" spans="1:26" x14ac:dyDescent="0.15">
      <c r="A173" s="4">
        <v>2009</v>
      </c>
      <c r="B173" s="4" t="s">
        <v>20</v>
      </c>
      <c r="C173" s="11">
        <v>490.17002750372802</v>
      </c>
      <c r="D173" s="11">
        <v>502.64274825215199</v>
      </c>
      <c r="E173" s="11">
        <v>494.17875325243602</v>
      </c>
      <c r="F173" s="12">
        <v>47.634867501339698</v>
      </c>
      <c r="G173" s="12" t="s">
        <v>12</v>
      </c>
      <c r="H173" s="12" t="s">
        <v>12</v>
      </c>
      <c r="I173" s="12">
        <v>0.24543635010713</v>
      </c>
      <c r="J173" s="12" t="s">
        <v>12</v>
      </c>
      <c r="K173" s="12">
        <v>3.4560973945231601</v>
      </c>
      <c r="L173" s="12">
        <v>3.4553179898765598</v>
      </c>
      <c r="M173" s="12">
        <v>3.7704067957923302</v>
      </c>
      <c r="N173" s="12">
        <v>125.456393816332</v>
      </c>
      <c r="O173" s="12">
        <v>12.0864248208602</v>
      </c>
      <c r="P173" s="13" t="s">
        <v>12</v>
      </c>
      <c r="Q173" s="12" t="s">
        <v>12</v>
      </c>
      <c r="R173" s="12" t="s">
        <v>12</v>
      </c>
      <c r="S173" s="12" t="s">
        <v>12</v>
      </c>
      <c r="T173" s="12">
        <v>27</v>
      </c>
      <c r="U173" s="12" t="s">
        <v>127</v>
      </c>
      <c r="V173" s="12"/>
      <c r="W173" s="12"/>
      <c r="X173" s="12"/>
      <c r="Y173" s="12"/>
      <c r="Z173" s="12"/>
    </row>
    <row r="174" spans="1:26" x14ac:dyDescent="0.15">
      <c r="A174" s="5">
        <v>2009</v>
      </c>
      <c r="B174" s="5" t="s">
        <v>21</v>
      </c>
      <c r="C174" s="14">
        <v>506.66916368762202</v>
      </c>
      <c r="D174" s="14">
        <v>495.59849861364398</v>
      </c>
      <c r="E174" s="14">
        <v>500.28331929787998</v>
      </c>
      <c r="F174" s="15">
        <v>55.946338368557797</v>
      </c>
      <c r="G174" s="15" t="s">
        <v>12</v>
      </c>
      <c r="H174" s="15" t="s">
        <v>12</v>
      </c>
      <c r="I174" s="15" t="s">
        <v>12</v>
      </c>
      <c r="J174" s="15" t="s">
        <v>12</v>
      </c>
      <c r="K174" s="15">
        <v>5.4722035162205396</v>
      </c>
      <c r="L174" s="15">
        <v>3.2740788298628201</v>
      </c>
      <c r="M174" s="15">
        <v>5.3481554203499</v>
      </c>
      <c r="N174" s="15">
        <v>63.453757217313999</v>
      </c>
      <c r="O174" s="15">
        <v>10</v>
      </c>
      <c r="P174" s="10" t="s">
        <v>12</v>
      </c>
      <c r="Q174" s="15" t="s">
        <v>12</v>
      </c>
      <c r="R174" s="15" t="s">
        <v>12</v>
      </c>
      <c r="S174" s="15" t="s">
        <v>12</v>
      </c>
      <c r="T174" s="15">
        <v>28.7</v>
      </c>
      <c r="U174" s="15" t="s">
        <v>127</v>
      </c>
      <c r="V174" s="15"/>
      <c r="W174" s="15"/>
      <c r="X174" s="15"/>
      <c r="Y174" s="15"/>
      <c r="Z174" s="15"/>
    </row>
    <row r="175" spans="1:26" x14ac:dyDescent="0.15">
      <c r="A175" s="4">
        <v>2009</v>
      </c>
      <c r="B175" s="4" t="s">
        <v>22</v>
      </c>
      <c r="C175" s="11">
        <v>487.13637513593898</v>
      </c>
      <c r="D175" s="11">
        <v>507.98415378913501</v>
      </c>
      <c r="E175" s="11">
        <v>495.63910860859397</v>
      </c>
      <c r="F175" s="12">
        <v>49.920109841849701</v>
      </c>
      <c r="G175" s="12" t="s">
        <v>12</v>
      </c>
      <c r="H175" s="12" t="s">
        <v>12</v>
      </c>
      <c r="I175" s="12" t="s">
        <v>12</v>
      </c>
      <c r="J175" s="12" t="s">
        <v>12</v>
      </c>
      <c r="K175" s="12">
        <v>4.71359543110038</v>
      </c>
      <c r="L175" s="12">
        <v>3.37900688791634</v>
      </c>
      <c r="M175" s="12">
        <v>4.5615864644258703</v>
      </c>
      <c r="N175" s="12">
        <v>103</v>
      </c>
      <c r="O175" s="12">
        <v>14</v>
      </c>
      <c r="P175" s="13" t="s">
        <v>12</v>
      </c>
      <c r="Q175" s="12" t="s">
        <v>12</v>
      </c>
      <c r="R175" s="12" t="s">
        <v>12</v>
      </c>
      <c r="S175" s="12" t="s">
        <v>12</v>
      </c>
      <c r="T175" s="12">
        <v>32.700000000000003</v>
      </c>
      <c r="U175" s="12" t="s">
        <v>127</v>
      </c>
      <c r="V175" s="12"/>
      <c r="W175" s="12"/>
      <c r="X175" s="12"/>
      <c r="Y175" s="12"/>
      <c r="Z175" s="12"/>
    </row>
    <row r="176" spans="1:26" x14ac:dyDescent="0.15">
      <c r="A176" s="5">
        <v>2009</v>
      </c>
      <c r="B176" s="5" t="s">
        <v>23</v>
      </c>
      <c r="C176" s="14">
        <v>446.863763939656</v>
      </c>
      <c r="D176" s="14">
        <v>454.85096320008</v>
      </c>
      <c r="E176" s="14">
        <v>473.98995056169298</v>
      </c>
      <c r="F176" s="15">
        <v>53.088066273728799</v>
      </c>
      <c r="G176" s="15" t="s">
        <v>12</v>
      </c>
      <c r="H176" s="15" t="s">
        <v>12</v>
      </c>
      <c r="I176" s="15" t="s">
        <v>12</v>
      </c>
      <c r="J176" s="15" t="s">
        <v>12</v>
      </c>
      <c r="K176" s="15">
        <v>4.8236884922717396</v>
      </c>
      <c r="L176" s="15">
        <v>3.9</v>
      </c>
      <c r="M176" s="15">
        <v>4.1934393935893901</v>
      </c>
      <c r="N176" s="15">
        <v>174.90276410029099</v>
      </c>
      <c r="O176" s="15">
        <v>12</v>
      </c>
      <c r="P176" s="10" t="s">
        <v>12</v>
      </c>
      <c r="Q176" s="15" t="s">
        <v>12</v>
      </c>
      <c r="R176" s="15" t="s">
        <v>12</v>
      </c>
      <c r="S176" s="15" t="s">
        <v>12</v>
      </c>
      <c r="T176" s="15">
        <v>42.6</v>
      </c>
      <c r="U176" s="15" t="s">
        <v>132</v>
      </c>
      <c r="V176" s="15"/>
      <c r="W176" s="15"/>
      <c r="X176" s="15"/>
      <c r="Y176" s="15"/>
      <c r="Z176" s="15"/>
    </row>
    <row r="177" spans="1:26" x14ac:dyDescent="0.15">
      <c r="A177" s="4">
        <v>2009</v>
      </c>
      <c r="B177" s="4" t="s">
        <v>24</v>
      </c>
      <c r="C177" s="11">
        <v>482.90848039534802</v>
      </c>
      <c r="D177" s="11">
        <v>488.83136268583002</v>
      </c>
      <c r="E177" s="11">
        <v>486.05109875799599</v>
      </c>
      <c r="F177" s="12">
        <v>46.864525852412903</v>
      </c>
      <c r="G177" s="12" t="s">
        <v>12</v>
      </c>
      <c r="H177" s="12" t="s">
        <v>12</v>
      </c>
      <c r="I177" s="12">
        <v>0.192583553164829</v>
      </c>
      <c r="J177" s="12" t="s">
        <v>12</v>
      </c>
      <c r="K177" s="12">
        <v>4.2692620307146498</v>
      </c>
      <c r="L177" s="12">
        <v>3.0106456040254401</v>
      </c>
      <c r="M177" s="12">
        <v>5.3162085389896303</v>
      </c>
      <c r="N177" s="12">
        <v>157.66329808873101</v>
      </c>
      <c r="O177" s="12">
        <v>9.3458023130464092</v>
      </c>
      <c r="P177" s="13" t="s">
        <v>12</v>
      </c>
      <c r="Q177" s="12" t="s">
        <v>12</v>
      </c>
      <c r="R177" s="12" t="s">
        <v>12</v>
      </c>
      <c r="S177" s="12" t="s">
        <v>12</v>
      </c>
      <c r="T177" s="12">
        <v>33.799999999999997</v>
      </c>
      <c r="U177" s="12" t="s">
        <v>127</v>
      </c>
      <c r="V177" s="12"/>
      <c r="W177" s="12"/>
      <c r="X177" s="12"/>
      <c r="Y177" s="12"/>
      <c r="Z177" s="12"/>
    </row>
    <row r="178" spans="1:26" x14ac:dyDescent="0.15">
      <c r="A178" s="5">
        <v>2009</v>
      </c>
      <c r="B178" s="5" t="s">
        <v>25</v>
      </c>
      <c r="C178" s="14">
        <v>528.99309287515302</v>
      </c>
      <c r="D178" s="14">
        <v>539.43099340837296</v>
      </c>
      <c r="E178" s="14">
        <v>519.85772235673801</v>
      </c>
      <c r="F178" s="15">
        <v>51.488392887195303</v>
      </c>
      <c r="G178" s="15" t="s">
        <v>12</v>
      </c>
      <c r="H178" s="15" t="s">
        <v>12</v>
      </c>
      <c r="I178" s="15" t="s">
        <v>12</v>
      </c>
      <c r="J178" s="15" t="s">
        <v>12</v>
      </c>
      <c r="K178" s="15">
        <v>4.6598523713795901</v>
      </c>
      <c r="L178" s="15">
        <v>2.9259464700070699</v>
      </c>
      <c r="M178" s="15">
        <v>4.2088056246778196</v>
      </c>
      <c r="N178" s="15">
        <v>250.77634910970301</v>
      </c>
      <c r="O178" s="15">
        <v>12.2283345008233</v>
      </c>
      <c r="P178" s="10" t="s">
        <v>12</v>
      </c>
      <c r="Q178" s="15" t="s">
        <v>12</v>
      </c>
      <c r="R178" s="15" t="s">
        <v>12</v>
      </c>
      <c r="S178" s="15" t="s">
        <v>12</v>
      </c>
      <c r="T178" s="15">
        <v>33</v>
      </c>
      <c r="U178" s="15" t="s">
        <v>129</v>
      </c>
      <c r="V178" s="15"/>
      <c r="W178" s="15"/>
      <c r="X178" s="15"/>
      <c r="Y178" s="15"/>
      <c r="Z178" s="15"/>
    </row>
    <row r="179" spans="1:26" x14ac:dyDescent="0.15">
      <c r="A179" s="4">
        <v>2009</v>
      </c>
      <c r="B179" s="4" t="s">
        <v>26</v>
      </c>
      <c r="C179" s="11">
        <v>546.22853420975298</v>
      </c>
      <c r="D179" s="11">
        <v>537.986230069057</v>
      </c>
      <c r="E179" s="11">
        <v>539.26748386275597</v>
      </c>
      <c r="F179" s="12">
        <v>50.089114596013303</v>
      </c>
      <c r="G179" s="12" t="s">
        <v>12</v>
      </c>
      <c r="H179" s="12" t="s">
        <v>12</v>
      </c>
      <c r="I179" s="12">
        <v>-0.91613067232784196</v>
      </c>
      <c r="J179" s="12" t="s">
        <v>12</v>
      </c>
      <c r="K179" s="12">
        <v>4.3641822214239996</v>
      </c>
      <c r="L179" s="12">
        <v>3.61018452348819</v>
      </c>
      <c r="M179" s="12">
        <v>4.2568554911456102</v>
      </c>
      <c r="N179" s="12">
        <v>393.60515696873301</v>
      </c>
      <c r="O179" s="12">
        <v>17.211795003131002</v>
      </c>
      <c r="P179" s="13" t="s">
        <v>12</v>
      </c>
      <c r="Q179" s="12" t="s">
        <v>12</v>
      </c>
      <c r="R179" s="12" t="s">
        <v>12</v>
      </c>
      <c r="S179" s="12" t="s">
        <v>12</v>
      </c>
      <c r="T179" s="12" t="s">
        <v>125</v>
      </c>
      <c r="U179" s="12" t="s">
        <v>129</v>
      </c>
      <c r="V179" s="12"/>
      <c r="W179" s="12"/>
      <c r="X179" s="12"/>
      <c r="Y179" s="12"/>
      <c r="Z179" s="12"/>
    </row>
    <row r="180" spans="1:26" x14ac:dyDescent="0.15">
      <c r="A180" s="5">
        <v>2009</v>
      </c>
      <c r="B180" s="5" t="s">
        <v>27</v>
      </c>
      <c r="C180" s="14">
        <v>481.95382212126498</v>
      </c>
      <c r="D180" s="14">
        <v>493.87892390422098</v>
      </c>
      <c r="E180" s="14">
        <v>483.96014543481402</v>
      </c>
      <c r="F180" s="15">
        <v>47.431071068602101</v>
      </c>
      <c r="G180" s="15" t="s">
        <v>12</v>
      </c>
      <c r="H180" s="15" t="s">
        <v>12</v>
      </c>
      <c r="I180" s="15" t="s">
        <v>12</v>
      </c>
      <c r="J180" s="15" t="s">
        <v>12</v>
      </c>
      <c r="K180" s="15">
        <v>5.4853490906507796</v>
      </c>
      <c r="L180" s="15">
        <v>6.5554936600412903</v>
      </c>
      <c r="M180" s="15">
        <v>4.07740350141595</v>
      </c>
      <c r="N180" s="15">
        <v>53.269450353418101</v>
      </c>
      <c r="O180" s="15">
        <v>9.6069679055235202</v>
      </c>
      <c r="P180" s="10" t="s">
        <v>12</v>
      </c>
      <c r="Q180" s="15" t="s">
        <v>12</v>
      </c>
      <c r="R180" s="15" t="s">
        <v>12</v>
      </c>
      <c r="S180" s="15" t="s">
        <v>12</v>
      </c>
      <c r="T180" s="15">
        <v>35.9</v>
      </c>
      <c r="U180" s="15" t="s">
        <v>127</v>
      </c>
      <c r="V180" s="15"/>
      <c r="W180" s="15"/>
      <c r="X180" s="15"/>
      <c r="Y180" s="15"/>
      <c r="Z180" s="15"/>
    </row>
    <row r="181" spans="1:26" x14ac:dyDescent="0.15">
      <c r="A181" s="4">
        <v>2009</v>
      </c>
      <c r="B181" s="4" t="s">
        <v>28</v>
      </c>
      <c r="C181" s="11">
        <v>476.60230306438098</v>
      </c>
      <c r="D181" s="11">
        <v>491.40979082965703</v>
      </c>
      <c r="E181" s="11">
        <v>468.44273446848598</v>
      </c>
      <c r="F181" s="12">
        <v>49.534208425806398</v>
      </c>
      <c r="G181" s="12" t="s">
        <v>12</v>
      </c>
      <c r="H181" s="12" t="s">
        <v>12</v>
      </c>
      <c r="I181" s="12">
        <v>0.14257958180973801</v>
      </c>
      <c r="J181" s="12" t="s">
        <v>12</v>
      </c>
      <c r="K181" s="12">
        <v>3.83914470742137</v>
      </c>
      <c r="L181" s="12">
        <v>4.5089390247215002</v>
      </c>
      <c r="M181" s="12">
        <v>4.4519423133405196</v>
      </c>
      <c r="N181" s="12">
        <v>92.024317433400697</v>
      </c>
      <c r="O181" s="12">
        <v>10.9473131027629</v>
      </c>
      <c r="P181" s="13" t="s">
        <v>12</v>
      </c>
      <c r="Q181" s="12" t="s">
        <v>12</v>
      </c>
      <c r="R181" s="12" t="s">
        <v>12</v>
      </c>
      <c r="S181" s="12" t="s">
        <v>12</v>
      </c>
      <c r="T181" s="12">
        <v>37.200000000000003</v>
      </c>
      <c r="U181" s="12" t="s">
        <v>127</v>
      </c>
      <c r="V181" s="12"/>
      <c r="W181" s="12"/>
      <c r="X181" s="12"/>
      <c r="Y181" s="12"/>
      <c r="Z181" s="12"/>
    </row>
    <row r="182" spans="1:26" x14ac:dyDescent="0.15">
      <c r="A182" s="5">
        <v>2009</v>
      </c>
      <c r="B182" s="5" t="s">
        <v>29</v>
      </c>
      <c r="C182" s="14">
        <v>489.06726328990601</v>
      </c>
      <c r="D182" s="14">
        <v>483.92842084479997</v>
      </c>
      <c r="E182" s="14">
        <v>472.17338668546802</v>
      </c>
      <c r="F182" s="15">
        <v>48.072678795105702</v>
      </c>
      <c r="G182" s="15" t="s">
        <v>12</v>
      </c>
      <c r="H182" s="15" t="s">
        <v>12</v>
      </c>
      <c r="I182" s="15" t="s">
        <v>12</v>
      </c>
      <c r="J182" s="15" t="s">
        <v>12</v>
      </c>
      <c r="K182" s="15">
        <v>3.9941077045879401</v>
      </c>
      <c r="L182" s="15">
        <v>3.2798903360870999</v>
      </c>
      <c r="M182" s="15">
        <v>3.8027696973060698</v>
      </c>
      <c r="N182" s="15">
        <v>237.026028362304</v>
      </c>
      <c r="O182" s="15">
        <v>9.4680267545530903</v>
      </c>
      <c r="P182" s="10" t="s">
        <v>12</v>
      </c>
      <c r="Q182" s="15" t="s">
        <v>12</v>
      </c>
      <c r="R182" s="15" t="s">
        <v>12</v>
      </c>
      <c r="S182" s="15" t="s">
        <v>12</v>
      </c>
      <c r="T182" s="15">
        <v>31.2</v>
      </c>
      <c r="U182" s="15" t="s">
        <v>127</v>
      </c>
      <c r="V182" s="15"/>
      <c r="W182" s="15"/>
      <c r="X182" s="15"/>
      <c r="Y182" s="15"/>
      <c r="Z182" s="15"/>
    </row>
    <row r="183" spans="1:26" x14ac:dyDescent="0.15">
      <c r="A183" s="4">
        <v>2009</v>
      </c>
      <c r="B183" s="4" t="s">
        <v>30</v>
      </c>
      <c r="C183" s="11">
        <v>418.50909456834398</v>
      </c>
      <c r="D183" s="11">
        <v>415.90867224109599</v>
      </c>
      <c r="E183" s="11">
        <v>425.26529925977502</v>
      </c>
      <c r="F183" s="12">
        <v>41.250733371016601</v>
      </c>
      <c r="G183" s="12" t="s">
        <v>12</v>
      </c>
      <c r="H183" s="12" t="s">
        <v>12</v>
      </c>
      <c r="I183" s="12" t="s">
        <v>12</v>
      </c>
      <c r="J183" s="12" t="s">
        <v>12</v>
      </c>
      <c r="K183" s="12">
        <v>4.4833823068663197</v>
      </c>
      <c r="L183" s="12">
        <v>4.4172956449901504</v>
      </c>
      <c r="M183" s="12">
        <v>4.2302885623907898</v>
      </c>
      <c r="N183" s="12">
        <v>320.94404468842299</v>
      </c>
      <c r="O183" s="12">
        <v>30</v>
      </c>
      <c r="P183" s="13" t="s">
        <v>12</v>
      </c>
      <c r="Q183" s="12" t="s">
        <v>12</v>
      </c>
      <c r="R183" s="12" t="s">
        <v>12</v>
      </c>
      <c r="S183" s="12" t="s">
        <v>12</v>
      </c>
      <c r="T183" s="12">
        <v>0</v>
      </c>
      <c r="U183" s="12" t="s">
        <v>128</v>
      </c>
      <c r="V183" s="12"/>
      <c r="W183" s="12"/>
      <c r="X183" s="12"/>
      <c r="Y183" s="12"/>
      <c r="Z183" s="12"/>
    </row>
    <row r="184" spans="1:26" x14ac:dyDescent="0.15">
      <c r="A184" s="5">
        <v>2009</v>
      </c>
      <c r="B184" s="5" t="s">
        <v>31</v>
      </c>
      <c r="C184" s="14">
        <v>525.83568837595999</v>
      </c>
      <c r="D184" s="14">
        <v>522.21812830240594</v>
      </c>
      <c r="E184" s="14">
        <v>508.40372291433602</v>
      </c>
      <c r="F184" s="15">
        <v>51.486616331714302</v>
      </c>
      <c r="G184" s="15" t="s">
        <v>12</v>
      </c>
      <c r="H184" s="15" t="s">
        <v>12</v>
      </c>
      <c r="I184" s="15" t="s">
        <v>12</v>
      </c>
      <c r="J184" s="15" t="s">
        <v>12</v>
      </c>
      <c r="K184" s="15">
        <v>3.3088340973837602</v>
      </c>
      <c r="L184" s="15">
        <v>4.3</v>
      </c>
      <c r="M184" s="15">
        <v>3.23186173673855</v>
      </c>
      <c r="N184" s="15">
        <v>214.56408068257201</v>
      </c>
      <c r="O184" s="15">
        <v>15.634034711257801</v>
      </c>
      <c r="P184" s="10" t="s">
        <v>12</v>
      </c>
      <c r="Q184" s="15" t="s">
        <v>12</v>
      </c>
      <c r="R184" s="15" t="s">
        <v>12</v>
      </c>
      <c r="S184" s="15" t="s">
        <v>12</v>
      </c>
      <c r="T184" s="15">
        <v>27.9</v>
      </c>
      <c r="U184" s="15" t="s">
        <v>127</v>
      </c>
      <c r="V184" s="15"/>
      <c r="W184" s="15"/>
      <c r="X184" s="15"/>
      <c r="Y184" s="15"/>
      <c r="Z184" s="15"/>
    </row>
    <row r="185" spans="1:26" x14ac:dyDescent="0.15">
      <c r="A185" s="4">
        <v>2009</v>
      </c>
      <c r="B185" s="4" t="s">
        <v>32</v>
      </c>
      <c r="C185" s="11">
        <v>519.300872255267</v>
      </c>
      <c r="D185" s="11">
        <v>532.00690122586298</v>
      </c>
      <c r="E185" s="11">
        <v>520.880008657556</v>
      </c>
      <c r="F185" s="12">
        <v>52.155507233835301</v>
      </c>
      <c r="G185" s="12" t="s">
        <v>12</v>
      </c>
      <c r="H185" s="12" t="s">
        <v>12</v>
      </c>
      <c r="I185" s="12">
        <v>0.23</v>
      </c>
      <c r="J185" s="12" t="s">
        <v>12</v>
      </c>
      <c r="K185" s="12">
        <v>4.3583508367502599</v>
      </c>
      <c r="L185" s="12">
        <v>4.3467975078342</v>
      </c>
      <c r="M185" s="12">
        <v>4.3891000651352696</v>
      </c>
      <c r="N185" s="12">
        <v>254.92832840852699</v>
      </c>
      <c r="O185" s="12">
        <v>14.8668310573195</v>
      </c>
      <c r="P185" s="13" t="s">
        <v>12</v>
      </c>
      <c r="Q185" s="12" t="s">
        <v>12</v>
      </c>
      <c r="R185" s="12" t="s">
        <v>12</v>
      </c>
      <c r="S185" s="12" t="s">
        <v>12</v>
      </c>
      <c r="T185" s="12">
        <v>0</v>
      </c>
      <c r="U185" s="12" t="s">
        <v>130</v>
      </c>
      <c r="V185" s="12"/>
      <c r="W185" s="12"/>
      <c r="X185" s="12"/>
      <c r="Y185" s="12"/>
      <c r="Z185" s="12"/>
    </row>
    <row r="186" spans="1:26" x14ac:dyDescent="0.15">
      <c r="A186" s="5">
        <v>2009</v>
      </c>
      <c r="B186" s="5" t="s">
        <v>33</v>
      </c>
      <c r="C186" s="14">
        <v>497.95569298293299</v>
      </c>
      <c r="D186" s="14">
        <v>499.87569983617499</v>
      </c>
      <c r="E186" s="14">
        <v>503.230020395488</v>
      </c>
      <c r="F186" s="15">
        <v>55.397043749832399</v>
      </c>
      <c r="G186" s="15" t="s">
        <v>12</v>
      </c>
      <c r="H186" s="15" t="s">
        <v>12</v>
      </c>
      <c r="I186" s="15" t="s">
        <v>12</v>
      </c>
      <c r="J186" s="15" t="s">
        <v>12</v>
      </c>
      <c r="K186" s="15">
        <v>3.0000000015689299</v>
      </c>
      <c r="L186" s="15">
        <v>2.0000000000000102</v>
      </c>
      <c r="M186" s="15">
        <v>4</v>
      </c>
      <c r="N186" s="15">
        <v>95.2954079930646</v>
      </c>
      <c r="O186" s="15">
        <v>10.499933529942799</v>
      </c>
      <c r="P186" s="10" t="s">
        <v>12</v>
      </c>
      <c r="Q186" s="15" t="s">
        <v>12</v>
      </c>
      <c r="R186" s="15" t="s">
        <v>12</v>
      </c>
      <c r="S186" s="15" t="s">
        <v>12</v>
      </c>
      <c r="T186" s="15">
        <v>26.2</v>
      </c>
      <c r="U186" s="15" t="s">
        <v>127</v>
      </c>
      <c r="V186" s="15"/>
      <c r="W186" s="15"/>
      <c r="X186" s="15"/>
      <c r="Y186" s="15"/>
      <c r="Z186" s="15"/>
    </row>
    <row r="187" spans="1:26" x14ac:dyDescent="0.15">
      <c r="A187" s="4">
        <v>2009</v>
      </c>
      <c r="B187" s="4" t="s">
        <v>34</v>
      </c>
      <c r="C187" s="11">
        <v>494.80291833184299</v>
      </c>
      <c r="D187" s="11">
        <v>508.068297201966</v>
      </c>
      <c r="E187" s="11">
        <v>500.47848258901899</v>
      </c>
      <c r="F187" s="12">
        <v>44.650969454736199</v>
      </c>
      <c r="G187" s="12" t="s">
        <v>12</v>
      </c>
      <c r="H187" s="12" t="s">
        <v>12</v>
      </c>
      <c r="I187" s="12" t="s">
        <v>12</v>
      </c>
      <c r="J187" s="12" t="s">
        <v>12</v>
      </c>
      <c r="K187" s="12">
        <v>4.5370394610158202</v>
      </c>
      <c r="L187" s="12">
        <v>4.1789910809947299</v>
      </c>
      <c r="M187" s="12">
        <v>5.0889956482551204</v>
      </c>
      <c r="N187" s="12">
        <v>112.867800293808</v>
      </c>
      <c r="O187" s="12">
        <v>10.629329061838</v>
      </c>
      <c r="P187" s="13" t="s">
        <v>12</v>
      </c>
      <c r="Q187" s="12" t="s">
        <v>12</v>
      </c>
      <c r="R187" s="12" t="s">
        <v>12</v>
      </c>
      <c r="S187" s="12" t="s">
        <v>12</v>
      </c>
      <c r="T187" s="12">
        <v>33.4</v>
      </c>
      <c r="U187" s="12" t="s">
        <v>127</v>
      </c>
      <c r="V187" s="12"/>
      <c r="W187" s="12"/>
      <c r="X187" s="12"/>
      <c r="Y187" s="12"/>
      <c r="Z187" s="12"/>
    </row>
    <row r="188" spans="1:26" x14ac:dyDescent="0.15">
      <c r="A188" s="5">
        <v>2009</v>
      </c>
      <c r="B188" s="5" t="s">
        <v>35</v>
      </c>
      <c r="C188" s="14">
        <v>486.88830591175702</v>
      </c>
      <c r="D188" s="14">
        <v>492.94996731562901</v>
      </c>
      <c r="E188" s="14">
        <v>489.33492384315502</v>
      </c>
      <c r="F188" s="15">
        <v>44.145032305277901</v>
      </c>
      <c r="G188" s="15" t="s">
        <v>12</v>
      </c>
      <c r="H188" s="15" t="s">
        <v>12</v>
      </c>
      <c r="I188" s="15">
        <v>0.2</v>
      </c>
      <c r="J188" s="15" t="s">
        <v>12</v>
      </c>
      <c r="K188" s="15">
        <v>2.8648146824474399</v>
      </c>
      <c r="L188" s="15">
        <v>2.5</v>
      </c>
      <c r="M188" s="15">
        <v>2.37308618614591</v>
      </c>
      <c r="N188" s="15">
        <v>188.725868482984</v>
      </c>
      <c r="O188" s="15">
        <v>8.5352700526531091</v>
      </c>
      <c r="P188" s="10" t="s">
        <v>12</v>
      </c>
      <c r="Q188" s="15" t="s">
        <v>12</v>
      </c>
      <c r="R188" s="15" t="s">
        <v>12</v>
      </c>
      <c r="S188" s="15" t="s">
        <v>12</v>
      </c>
      <c r="T188" s="15">
        <v>34.9</v>
      </c>
      <c r="U188" s="15" t="s">
        <v>127</v>
      </c>
      <c r="V188" s="15"/>
      <c r="W188" s="15"/>
      <c r="X188" s="15"/>
      <c r="Y188" s="15"/>
      <c r="Z188" s="15"/>
    </row>
    <row r="189" spans="1:26" x14ac:dyDescent="0.15">
      <c r="A189" s="4">
        <v>2009</v>
      </c>
      <c r="B189" s="4" t="s">
        <v>36</v>
      </c>
      <c r="C189" s="11">
        <v>496.68342000140598</v>
      </c>
      <c r="D189" s="11">
        <v>490.26592193521998</v>
      </c>
      <c r="E189" s="11">
        <v>477.44335249992002</v>
      </c>
      <c r="F189" s="12">
        <v>45.676710300204</v>
      </c>
      <c r="G189" s="12" t="s">
        <v>12</v>
      </c>
      <c r="H189" s="12" t="s">
        <v>12</v>
      </c>
      <c r="I189" s="12" t="s">
        <v>12</v>
      </c>
      <c r="J189" s="12" t="s">
        <v>12</v>
      </c>
      <c r="K189" s="12">
        <v>3.7655155698190699</v>
      </c>
      <c r="L189" s="12">
        <v>4.7953252466835199</v>
      </c>
      <c r="M189" s="12">
        <v>3.91739817546582</v>
      </c>
      <c r="N189" s="12">
        <v>104.734266502886</v>
      </c>
      <c r="O189" s="12">
        <v>14.1178021877703</v>
      </c>
      <c r="P189" s="13" t="s">
        <v>12</v>
      </c>
      <c r="Q189" s="12" t="s">
        <v>12</v>
      </c>
      <c r="R189" s="12" t="s">
        <v>12</v>
      </c>
      <c r="S189" s="12" t="s">
        <v>12</v>
      </c>
      <c r="T189" s="12" t="s">
        <v>125</v>
      </c>
      <c r="U189" s="12" t="s">
        <v>127</v>
      </c>
      <c r="V189" s="12"/>
      <c r="W189" s="12"/>
      <c r="X189" s="12"/>
      <c r="Y189" s="12"/>
      <c r="Z189" s="12"/>
    </row>
    <row r="190" spans="1:26" x14ac:dyDescent="0.15">
      <c r="A190" s="5">
        <v>2009</v>
      </c>
      <c r="B190" s="5" t="s">
        <v>37</v>
      </c>
      <c r="C190" s="14">
        <v>501.47238933381902</v>
      </c>
      <c r="D190" s="14">
        <v>511.75947309730498</v>
      </c>
      <c r="E190" s="14">
        <v>483.08204215963599</v>
      </c>
      <c r="F190" s="15">
        <v>50.336061235661901</v>
      </c>
      <c r="G190" s="15" t="s">
        <v>12</v>
      </c>
      <c r="H190" s="15" t="s">
        <v>12</v>
      </c>
      <c r="I190" s="15" t="s">
        <v>12</v>
      </c>
      <c r="J190" s="15" t="s">
        <v>12</v>
      </c>
      <c r="K190" s="15">
        <v>3.6283876308236902</v>
      </c>
      <c r="L190" s="15">
        <v>4.4448066041813901</v>
      </c>
      <c r="M190" s="15">
        <v>3.9021993588509298</v>
      </c>
      <c r="N190" s="15">
        <v>117.89004759917999</v>
      </c>
      <c r="O190" s="15">
        <v>19.6258682200918</v>
      </c>
      <c r="P190" s="10" t="s">
        <v>12</v>
      </c>
      <c r="Q190" s="15" t="s">
        <v>12</v>
      </c>
      <c r="R190" s="15" t="s">
        <v>12</v>
      </c>
      <c r="S190" s="15" t="s">
        <v>12</v>
      </c>
      <c r="T190" s="15">
        <v>24.8</v>
      </c>
      <c r="U190" s="15" t="s">
        <v>127</v>
      </c>
      <c r="V190" s="15"/>
      <c r="W190" s="15"/>
      <c r="X190" s="15"/>
      <c r="Y190" s="15"/>
      <c r="Z190" s="15"/>
    </row>
    <row r="191" spans="1:26" x14ac:dyDescent="0.15">
      <c r="A191" s="4">
        <v>2009</v>
      </c>
      <c r="B191" s="4" t="s">
        <v>38</v>
      </c>
      <c r="C191" s="11">
        <v>483.493140177442</v>
      </c>
      <c r="D191" s="11">
        <v>488.25463023125798</v>
      </c>
      <c r="E191" s="11">
        <v>481.04232598787502</v>
      </c>
      <c r="F191" s="12">
        <v>45.854583393546001</v>
      </c>
      <c r="G191" s="12" t="s">
        <v>12</v>
      </c>
      <c r="H191" s="12" t="s">
        <v>12</v>
      </c>
      <c r="I191" s="12" t="s">
        <v>12</v>
      </c>
      <c r="J191" s="12" t="s">
        <v>12</v>
      </c>
      <c r="K191" s="12">
        <v>3.79340385647984</v>
      </c>
      <c r="L191" s="12">
        <v>3.8577188785777401</v>
      </c>
      <c r="M191" s="12">
        <v>3.6918766799006502</v>
      </c>
      <c r="N191" s="12">
        <v>76.388225923363706</v>
      </c>
      <c r="O191" s="12">
        <v>11.867036245994701</v>
      </c>
      <c r="P191" s="13" t="s">
        <v>12</v>
      </c>
      <c r="Q191" s="12" t="s">
        <v>12</v>
      </c>
      <c r="R191" s="12" t="s">
        <v>12</v>
      </c>
      <c r="S191" s="12" t="s">
        <v>12</v>
      </c>
      <c r="T191" s="12">
        <v>34.9</v>
      </c>
      <c r="U191" s="12" t="s">
        <v>127</v>
      </c>
      <c r="V191" s="12"/>
      <c r="W191" s="12"/>
      <c r="X191" s="12"/>
      <c r="Y191" s="12"/>
      <c r="Z191" s="12"/>
    </row>
    <row r="192" spans="1:26" x14ac:dyDescent="0.15">
      <c r="A192" s="5">
        <v>2009</v>
      </c>
      <c r="B192" s="5" t="s">
        <v>39</v>
      </c>
      <c r="C192" s="14">
        <v>494.23817517800398</v>
      </c>
      <c r="D192" s="14">
        <v>495.10589771192798</v>
      </c>
      <c r="E192" s="14">
        <v>497.44942333732803</v>
      </c>
      <c r="F192" s="15">
        <v>52.2451110295899</v>
      </c>
      <c r="G192" s="15" t="s">
        <v>12</v>
      </c>
      <c r="H192" s="15" t="s">
        <v>12</v>
      </c>
      <c r="I192" s="15" t="s">
        <v>12</v>
      </c>
      <c r="J192" s="15" t="s">
        <v>12</v>
      </c>
      <c r="K192" s="15">
        <v>3.16783938344946</v>
      </c>
      <c r="L192" s="15">
        <v>3.0277241742646401</v>
      </c>
      <c r="M192" s="15">
        <v>3.0185686614946801</v>
      </c>
      <c r="N192" s="15">
        <v>118.325053160903</v>
      </c>
      <c r="O192" s="15">
        <v>12</v>
      </c>
      <c r="P192" s="10" t="s">
        <v>12</v>
      </c>
      <c r="Q192" s="15" t="s">
        <v>12</v>
      </c>
      <c r="R192" s="15" t="s">
        <v>12</v>
      </c>
      <c r="S192" s="15" t="s">
        <v>12</v>
      </c>
      <c r="T192" s="15">
        <v>27.3</v>
      </c>
      <c r="U192" s="15" t="s">
        <v>127</v>
      </c>
      <c r="V192" s="15"/>
      <c r="W192" s="15"/>
      <c r="X192" s="15"/>
      <c r="Y192" s="15"/>
      <c r="Z192" s="15"/>
    </row>
    <row r="193" spans="1:26" x14ac:dyDescent="0.15">
      <c r="A193" s="4">
        <v>2009</v>
      </c>
      <c r="B193" s="4" t="s">
        <v>40</v>
      </c>
      <c r="C193" s="11">
        <v>533.96064475178503</v>
      </c>
      <c r="D193" s="11">
        <v>516.56751012167501</v>
      </c>
      <c r="E193" s="11">
        <v>500.50021174581099</v>
      </c>
      <c r="F193" s="12">
        <v>50.598001276725903</v>
      </c>
      <c r="G193" s="12" t="s">
        <v>12</v>
      </c>
      <c r="H193" s="12" t="s">
        <v>12</v>
      </c>
      <c r="I193" s="12" t="s">
        <v>12</v>
      </c>
      <c r="J193" s="12" t="s">
        <v>12</v>
      </c>
      <c r="K193" s="12">
        <v>4.5028099833284099</v>
      </c>
      <c r="L193" s="12">
        <v>3.8905054460285999</v>
      </c>
      <c r="M193" s="12">
        <v>4.4025839199349797</v>
      </c>
      <c r="N193" s="12">
        <v>137.37376427465901</v>
      </c>
      <c r="O193" s="12">
        <v>13.2265185974936</v>
      </c>
      <c r="P193" s="13" t="s">
        <v>12</v>
      </c>
      <c r="Q193" s="12" t="s">
        <v>12</v>
      </c>
      <c r="R193" s="12" t="s">
        <v>12</v>
      </c>
      <c r="S193" s="12" t="s">
        <v>12</v>
      </c>
      <c r="T193" s="12">
        <v>32.9</v>
      </c>
      <c r="U193" s="12" t="s">
        <v>127</v>
      </c>
      <c r="V193" s="12"/>
      <c r="W193" s="12"/>
      <c r="X193" s="12"/>
      <c r="Y193" s="12"/>
      <c r="Z193" s="12"/>
    </row>
    <row r="194" spans="1:26" x14ac:dyDescent="0.15">
      <c r="A194" s="5">
        <v>2009</v>
      </c>
      <c r="B194" s="5" t="s">
        <v>41</v>
      </c>
      <c r="C194" s="14">
        <v>445.45134005882301</v>
      </c>
      <c r="D194" s="14">
        <v>453.90971809555901</v>
      </c>
      <c r="E194" s="14">
        <v>464.19437532196503</v>
      </c>
      <c r="F194" s="15">
        <v>41.256196879418802</v>
      </c>
      <c r="G194" s="15" t="s">
        <v>12</v>
      </c>
      <c r="H194" s="15" t="s">
        <v>12</v>
      </c>
      <c r="I194" s="15" t="s">
        <v>12</v>
      </c>
      <c r="J194" s="15" t="s">
        <v>12</v>
      </c>
      <c r="K194" s="15">
        <v>4.3193752503195499</v>
      </c>
      <c r="L194" s="15">
        <v>3.0477317959018602</v>
      </c>
      <c r="M194" s="15">
        <v>5.5989494003309401</v>
      </c>
      <c r="N194" s="15">
        <v>238.43085961527501</v>
      </c>
      <c r="O194" s="15">
        <v>18.567137897091701</v>
      </c>
      <c r="P194" s="10" t="s">
        <v>12</v>
      </c>
      <c r="Q194" s="15" t="s">
        <v>12</v>
      </c>
      <c r="R194" s="15" t="s">
        <v>12</v>
      </c>
      <c r="S194" s="15" t="s">
        <v>12</v>
      </c>
      <c r="T194" s="15">
        <v>39</v>
      </c>
      <c r="U194" s="15" t="s">
        <v>132</v>
      </c>
      <c r="V194" s="15"/>
      <c r="W194" s="15"/>
      <c r="X194" s="15"/>
      <c r="Y194" s="15"/>
      <c r="Z194" s="15"/>
    </row>
    <row r="195" spans="1:26" x14ac:dyDescent="0.15">
      <c r="A195" s="4">
        <v>2009</v>
      </c>
      <c r="B195" s="4" t="s">
        <v>42</v>
      </c>
      <c r="C195" s="11">
        <v>492.41407826490803</v>
      </c>
      <c r="D195" s="11">
        <v>513.71023993296205</v>
      </c>
      <c r="E195" s="11">
        <v>494.18201003475798</v>
      </c>
      <c r="F195" s="12">
        <v>49.823184956683797</v>
      </c>
      <c r="G195" s="12" t="s">
        <v>12</v>
      </c>
      <c r="H195" s="12" t="s">
        <v>12</v>
      </c>
      <c r="I195" s="12" t="s">
        <v>12</v>
      </c>
      <c r="J195" s="12" t="s">
        <v>12</v>
      </c>
      <c r="K195" s="12">
        <v>3.83791975771581</v>
      </c>
      <c r="L195" s="12">
        <v>4.9858433650391802</v>
      </c>
      <c r="M195" s="12">
        <v>3.9580633007497901</v>
      </c>
      <c r="N195" s="12">
        <v>363.00265809101199</v>
      </c>
      <c r="O195" s="12">
        <v>14.5121693504175</v>
      </c>
      <c r="P195" s="13" t="s">
        <v>12</v>
      </c>
      <c r="Q195" s="12" t="s">
        <v>12</v>
      </c>
      <c r="R195" s="12" t="s">
        <v>12</v>
      </c>
      <c r="S195" s="12" t="s">
        <v>12</v>
      </c>
      <c r="T195" s="12">
        <v>35.1</v>
      </c>
      <c r="U195" s="12" t="s">
        <v>127</v>
      </c>
      <c r="V195" s="12"/>
      <c r="W195" s="12"/>
      <c r="X195" s="12"/>
      <c r="Y195" s="12"/>
      <c r="Z195" s="12"/>
    </row>
    <row r="196" spans="1:26" x14ac:dyDescent="0.15">
      <c r="A196" s="5">
        <v>2009</v>
      </c>
      <c r="B196" s="5" t="s">
        <v>43</v>
      </c>
      <c r="C196" s="14">
        <v>487.39652050631798</v>
      </c>
      <c r="D196" s="14">
        <v>502.00226454398199</v>
      </c>
      <c r="E196" s="14">
        <v>499.82682108248599</v>
      </c>
      <c r="F196" s="15">
        <v>52.025368903145399</v>
      </c>
      <c r="G196" s="15" t="s">
        <v>12</v>
      </c>
      <c r="H196" s="15" t="s">
        <v>12</v>
      </c>
      <c r="I196" s="15" t="s">
        <v>12</v>
      </c>
      <c r="J196" s="15" t="s">
        <v>12</v>
      </c>
      <c r="K196" s="15">
        <v>4.3551754288521796</v>
      </c>
      <c r="L196" s="15">
        <v>4.2963802825666804</v>
      </c>
      <c r="M196" s="15">
        <v>4.3651473386656203</v>
      </c>
      <c r="N196" s="15">
        <v>363.11617334498902</v>
      </c>
      <c r="O196" s="15">
        <v>16.053370303397401</v>
      </c>
      <c r="P196" s="10" t="s">
        <v>12</v>
      </c>
      <c r="Q196" s="15" t="s">
        <v>12</v>
      </c>
      <c r="R196" s="15" t="s">
        <v>12</v>
      </c>
      <c r="S196" s="15" t="s">
        <v>12</v>
      </c>
      <c r="T196" s="15">
        <v>40.799999999999997</v>
      </c>
      <c r="U196" s="15" t="s">
        <v>128</v>
      </c>
      <c r="V196" s="15"/>
      <c r="W196" s="15"/>
      <c r="X196" s="15"/>
      <c r="Y196" s="15"/>
      <c r="Z196" s="15"/>
    </row>
    <row r="197" spans="1:26" x14ac:dyDescent="0.15">
      <c r="A197" s="4">
        <v>2006</v>
      </c>
      <c r="B197" s="4" t="s">
        <v>4</v>
      </c>
      <c r="C197" s="11">
        <v>490.407608360231</v>
      </c>
      <c r="D197" s="11">
        <v>494.804917460826</v>
      </c>
      <c r="E197" s="11">
        <v>485.35360533523902</v>
      </c>
      <c r="F197" s="12">
        <v>48.534012497418999</v>
      </c>
      <c r="G197" s="12" t="s">
        <v>12</v>
      </c>
      <c r="H197" s="12" t="s">
        <v>12</v>
      </c>
      <c r="I197" s="12" t="s">
        <v>12</v>
      </c>
      <c r="J197" s="12" t="s">
        <v>12</v>
      </c>
      <c r="K197" s="12" t="s">
        <v>12</v>
      </c>
      <c r="L197" s="12" t="s">
        <v>12</v>
      </c>
      <c r="M197" s="12" t="s">
        <v>12</v>
      </c>
      <c r="N197" s="12" t="s">
        <v>12</v>
      </c>
      <c r="O197" s="12">
        <v>13.972114826516</v>
      </c>
      <c r="P197" s="13" t="s">
        <v>12</v>
      </c>
      <c r="Q197" s="12" t="s">
        <v>12</v>
      </c>
      <c r="R197" s="12" t="s">
        <v>12</v>
      </c>
      <c r="S197" s="12" t="s">
        <v>12</v>
      </c>
      <c r="T197" s="12" t="s">
        <v>125</v>
      </c>
      <c r="U197" s="12" t="s">
        <v>125</v>
      </c>
      <c r="V197" s="12"/>
      <c r="W197" s="12"/>
      <c r="X197" s="12"/>
      <c r="Y197" s="12"/>
      <c r="Z197" s="12"/>
    </row>
    <row r="198" spans="1:26" x14ac:dyDescent="0.15">
      <c r="A198" s="5">
        <v>2006</v>
      </c>
      <c r="B198" s="5" t="s">
        <v>5</v>
      </c>
      <c r="C198" s="14">
        <v>519.90774855186703</v>
      </c>
      <c r="D198" s="14">
        <v>526.87958904686604</v>
      </c>
      <c r="E198" s="14">
        <v>512.893291590888</v>
      </c>
      <c r="F198" s="15">
        <v>53.018056351768699</v>
      </c>
      <c r="G198" s="15" t="s">
        <v>12</v>
      </c>
      <c r="H198" s="15" t="s">
        <v>12</v>
      </c>
      <c r="I198" s="15" t="s">
        <v>12</v>
      </c>
      <c r="J198" s="15" t="s">
        <v>12</v>
      </c>
      <c r="K198" s="15" t="s">
        <v>12</v>
      </c>
      <c r="L198" s="15" t="s">
        <v>12</v>
      </c>
      <c r="M198" s="15" t="s">
        <v>12</v>
      </c>
      <c r="N198" s="15" t="s">
        <v>12</v>
      </c>
      <c r="O198" s="15">
        <v>13.411164307506199</v>
      </c>
      <c r="P198" s="10" t="s">
        <v>12</v>
      </c>
      <c r="Q198" s="15" t="s">
        <v>12</v>
      </c>
      <c r="R198" s="15" t="s">
        <v>12</v>
      </c>
      <c r="S198" s="15" t="s">
        <v>12</v>
      </c>
      <c r="T198" s="15">
        <v>0</v>
      </c>
      <c r="U198" s="15" t="s">
        <v>130</v>
      </c>
      <c r="V198" s="15"/>
      <c r="W198" s="15"/>
      <c r="X198" s="15"/>
      <c r="Y198" s="15"/>
      <c r="Z198" s="15"/>
    </row>
    <row r="199" spans="1:26" x14ac:dyDescent="0.15">
      <c r="A199" s="4">
        <v>2006</v>
      </c>
      <c r="B199" s="4" t="s">
        <v>6</v>
      </c>
      <c r="C199" s="11">
        <v>505.48359847748702</v>
      </c>
      <c r="D199" s="11">
        <v>510.83715451822502</v>
      </c>
      <c r="E199" s="11">
        <v>490.19397738161098</v>
      </c>
      <c r="F199" s="12">
        <v>48.308602327102903</v>
      </c>
      <c r="G199" s="12" t="s">
        <v>12</v>
      </c>
      <c r="H199" s="12" t="s">
        <v>12</v>
      </c>
      <c r="I199" s="12" t="s">
        <v>12</v>
      </c>
      <c r="J199" s="12" t="s">
        <v>12</v>
      </c>
      <c r="K199" s="12" t="s">
        <v>12</v>
      </c>
      <c r="L199" s="12" t="s">
        <v>12</v>
      </c>
      <c r="M199" s="12" t="s">
        <v>12</v>
      </c>
      <c r="N199" s="12" t="s">
        <v>12</v>
      </c>
      <c r="O199" s="12">
        <v>11.346079232519999</v>
      </c>
      <c r="P199" s="13" t="s">
        <v>12</v>
      </c>
      <c r="Q199" s="12" t="s">
        <v>12</v>
      </c>
      <c r="R199" s="12" t="s">
        <v>12</v>
      </c>
      <c r="S199" s="12" t="s">
        <v>12</v>
      </c>
      <c r="T199" s="12">
        <v>29.6</v>
      </c>
      <c r="U199" s="12" t="s">
        <v>127</v>
      </c>
      <c r="V199" s="12"/>
      <c r="W199" s="12"/>
      <c r="X199" s="12"/>
      <c r="Y199" s="12"/>
      <c r="Z199" s="12"/>
    </row>
    <row r="200" spans="1:26" x14ac:dyDescent="0.15">
      <c r="A200" s="5">
        <v>2006</v>
      </c>
      <c r="B200" s="5" t="s">
        <v>7</v>
      </c>
      <c r="C200" s="14">
        <v>520.34897289600201</v>
      </c>
      <c r="D200" s="14">
        <v>510.363484146053</v>
      </c>
      <c r="E200" s="14">
        <v>500.90059468125497</v>
      </c>
      <c r="F200" s="15">
        <v>49.834235490218902</v>
      </c>
      <c r="G200" s="15" t="s">
        <v>12</v>
      </c>
      <c r="H200" s="15" t="s">
        <v>12</v>
      </c>
      <c r="I200" s="15" t="s">
        <v>12</v>
      </c>
      <c r="J200" s="15" t="s">
        <v>12</v>
      </c>
      <c r="K200" s="15" t="s">
        <v>12</v>
      </c>
      <c r="L200" s="15" t="s">
        <v>12</v>
      </c>
      <c r="M200" s="15" t="s">
        <v>12</v>
      </c>
      <c r="N200" s="15" t="s">
        <v>12</v>
      </c>
      <c r="O200" s="15">
        <v>9.1362600277881505</v>
      </c>
      <c r="P200" s="10" t="s">
        <v>12</v>
      </c>
      <c r="Q200" s="15" t="s">
        <v>12</v>
      </c>
      <c r="R200" s="15" t="s">
        <v>12</v>
      </c>
      <c r="S200" s="15" t="s">
        <v>12</v>
      </c>
      <c r="T200" s="15">
        <v>28.1</v>
      </c>
      <c r="U200" s="15" t="s">
        <v>127</v>
      </c>
      <c r="V200" s="15"/>
      <c r="W200" s="15"/>
      <c r="X200" s="15"/>
      <c r="Y200" s="15"/>
      <c r="Z200" s="15"/>
    </row>
    <row r="201" spans="1:26" x14ac:dyDescent="0.15">
      <c r="A201" s="4">
        <v>2006</v>
      </c>
      <c r="B201" s="4" t="s">
        <v>8</v>
      </c>
      <c r="C201" s="11">
        <v>527.00717882471997</v>
      </c>
      <c r="D201" s="11">
        <v>534.46977740356795</v>
      </c>
      <c r="E201" s="11">
        <v>527.01129558842604</v>
      </c>
      <c r="F201" s="12">
        <v>53.533891680144002</v>
      </c>
      <c r="G201" s="12" t="s">
        <v>12</v>
      </c>
      <c r="H201" s="12" t="s">
        <v>12</v>
      </c>
      <c r="I201" s="12" t="s">
        <v>12</v>
      </c>
      <c r="J201" s="12" t="s">
        <v>12</v>
      </c>
      <c r="K201" s="12" t="s">
        <v>12</v>
      </c>
      <c r="L201" s="12" t="s">
        <v>12</v>
      </c>
      <c r="M201" s="12" t="s">
        <v>12</v>
      </c>
      <c r="N201" s="12" t="s">
        <v>12</v>
      </c>
      <c r="O201" s="12">
        <v>17</v>
      </c>
      <c r="P201" s="13" t="s">
        <v>12</v>
      </c>
      <c r="Q201" s="12" t="s">
        <v>12</v>
      </c>
      <c r="R201" s="12" t="s">
        <v>12</v>
      </c>
      <c r="S201" s="12" t="s">
        <v>12</v>
      </c>
      <c r="T201" s="12">
        <v>34.1</v>
      </c>
      <c r="U201" s="12" t="s">
        <v>128</v>
      </c>
      <c r="V201" s="12"/>
      <c r="W201" s="12"/>
      <c r="X201" s="12"/>
      <c r="Y201" s="12"/>
      <c r="Z201" s="12"/>
    </row>
    <row r="202" spans="1:26" x14ac:dyDescent="0.15">
      <c r="A202" s="5">
        <v>2006</v>
      </c>
      <c r="B202" s="5" t="s">
        <v>9</v>
      </c>
      <c r="C202" s="14">
        <v>411.350338565367</v>
      </c>
      <c r="D202" s="14">
        <v>438.17744507643903</v>
      </c>
      <c r="E202" s="14">
        <v>442.09134568743701</v>
      </c>
      <c r="F202" s="15">
        <v>40.618960500520998</v>
      </c>
      <c r="G202" s="15" t="s">
        <v>12</v>
      </c>
      <c r="H202" s="15" t="s">
        <v>12</v>
      </c>
      <c r="I202" s="15" t="s">
        <v>12</v>
      </c>
      <c r="J202" s="15" t="s">
        <v>12</v>
      </c>
      <c r="K202" s="15" t="s">
        <v>12</v>
      </c>
      <c r="L202" s="15" t="s">
        <v>12</v>
      </c>
      <c r="M202" s="15" t="s">
        <v>12</v>
      </c>
      <c r="N202" s="15" t="s">
        <v>12</v>
      </c>
      <c r="O202" s="15">
        <v>25</v>
      </c>
      <c r="P202" s="10" t="s">
        <v>12</v>
      </c>
      <c r="Q202" s="15" t="s">
        <v>12</v>
      </c>
      <c r="R202" s="15" t="s">
        <v>12</v>
      </c>
      <c r="S202" s="15" t="s">
        <v>12</v>
      </c>
      <c r="T202" s="15">
        <v>47.7</v>
      </c>
      <c r="U202" s="15" t="s">
        <v>131</v>
      </c>
      <c r="V202" s="15"/>
      <c r="W202" s="15"/>
      <c r="X202" s="15"/>
      <c r="Y202" s="15"/>
      <c r="Z202" s="15"/>
    </row>
    <row r="203" spans="1:26" x14ac:dyDescent="0.15">
      <c r="A203" s="4">
        <v>2006</v>
      </c>
      <c r="B203" s="4" t="s">
        <v>10</v>
      </c>
      <c r="C203" s="11">
        <v>369.97851351992603</v>
      </c>
      <c r="D203" s="11">
        <v>388.038271758836</v>
      </c>
      <c r="E203" s="11">
        <v>385.30803847102101</v>
      </c>
      <c r="F203" s="12">
        <v>42.265660241211599</v>
      </c>
      <c r="G203" s="12" t="s">
        <v>12</v>
      </c>
      <c r="H203" s="12" t="s">
        <v>12</v>
      </c>
      <c r="I203" s="12" t="s">
        <v>12</v>
      </c>
      <c r="J203" s="12" t="s">
        <v>12</v>
      </c>
      <c r="K203" s="12" t="s">
        <v>12</v>
      </c>
      <c r="L203" s="12" t="s">
        <v>12</v>
      </c>
      <c r="M203" s="12" t="s">
        <v>12</v>
      </c>
      <c r="N203" s="12" t="s">
        <v>12</v>
      </c>
      <c r="O203" s="12">
        <v>23.889632881141399</v>
      </c>
      <c r="P203" s="13" t="s">
        <v>12</v>
      </c>
      <c r="Q203" s="12" t="s">
        <v>12</v>
      </c>
      <c r="R203" s="12" t="s">
        <v>12</v>
      </c>
      <c r="S203" s="12" t="s">
        <v>12</v>
      </c>
      <c r="T203" s="12" t="s">
        <v>125</v>
      </c>
      <c r="U203" s="12" t="s">
        <v>131</v>
      </c>
      <c r="V203" s="12"/>
      <c r="W203" s="12"/>
      <c r="X203" s="12"/>
      <c r="Y203" s="12"/>
      <c r="Z203" s="12"/>
    </row>
    <row r="204" spans="1:26" x14ac:dyDescent="0.15">
      <c r="A204" s="5">
        <v>2006</v>
      </c>
      <c r="B204" s="5" t="s">
        <v>11</v>
      </c>
      <c r="C204" s="14" t="s">
        <v>12</v>
      </c>
      <c r="D204" s="14" t="s">
        <v>12</v>
      </c>
      <c r="E204" s="14" t="s">
        <v>12</v>
      </c>
      <c r="F204" s="15" t="s">
        <v>12</v>
      </c>
      <c r="G204" s="15" t="s">
        <v>12</v>
      </c>
      <c r="H204" s="15" t="s">
        <v>12</v>
      </c>
      <c r="I204" s="15" t="s">
        <v>12</v>
      </c>
      <c r="J204" s="15" t="s">
        <v>12</v>
      </c>
      <c r="K204" s="15" t="s">
        <v>12</v>
      </c>
      <c r="L204" s="15" t="s">
        <v>12</v>
      </c>
      <c r="M204" s="15" t="s">
        <v>12</v>
      </c>
      <c r="N204" s="15" t="s">
        <v>12</v>
      </c>
      <c r="O204" s="15" t="s">
        <v>12</v>
      </c>
      <c r="P204" s="10" t="s">
        <v>12</v>
      </c>
      <c r="Q204" s="15" t="s">
        <v>12</v>
      </c>
      <c r="R204" s="15" t="s">
        <v>12</v>
      </c>
      <c r="S204" s="15" t="s">
        <v>12</v>
      </c>
      <c r="T204" s="15" t="s">
        <v>125</v>
      </c>
      <c r="U204" s="15" t="s">
        <v>128</v>
      </c>
      <c r="V204" s="15"/>
      <c r="W204" s="15"/>
      <c r="X204" s="15"/>
      <c r="Y204" s="15"/>
      <c r="Z204" s="15"/>
    </row>
    <row r="205" spans="1:26" x14ac:dyDescent="0.15">
      <c r="A205" s="4">
        <v>2006</v>
      </c>
      <c r="B205" s="4" t="s">
        <v>13</v>
      </c>
      <c r="C205" s="11">
        <v>509.85935894455298</v>
      </c>
      <c r="D205" s="11">
        <v>512.86074591790805</v>
      </c>
      <c r="E205" s="11">
        <v>482.71516200118299</v>
      </c>
      <c r="F205" s="12">
        <v>48.242716402044202</v>
      </c>
      <c r="G205" s="12" t="s">
        <v>12</v>
      </c>
      <c r="H205" s="12" t="s">
        <v>12</v>
      </c>
      <c r="I205" s="12" t="s">
        <v>12</v>
      </c>
      <c r="J205" s="12" t="s">
        <v>12</v>
      </c>
      <c r="K205" s="12" t="s">
        <v>12</v>
      </c>
      <c r="L205" s="12" t="s">
        <v>12</v>
      </c>
      <c r="M205" s="12" t="s">
        <v>12</v>
      </c>
      <c r="N205" s="12" t="s">
        <v>12</v>
      </c>
      <c r="O205" s="12">
        <v>13.5907879227337</v>
      </c>
      <c r="P205" s="13" t="s">
        <v>12</v>
      </c>
      <c r="Q205" s="12" t="s">
        <v>12</v>
      </c>
      <c r="R205" s="12" t="s">
        <v>12</v>
      </c>
      <c r="S205" s="12" t="s">
        <v>12</v>
      </c>
      <c r="T205" s="12">
        <v>26.7</v>
      </c>
      <c r="U205" s="12" t="s">
        <v>127</v>
      </c>
      <c r="V205" s="12"/>
      <c r="W205" s="12"/>
      <c r="X205" s="12"/>
      <c r="Y205" s="12"/>
      <c r="Z205" s="12"/>
    </row>
    <row r="206" spans="1:26" x14ac:dyDescent="0.15">
      <c r="A206" s="5">
        <v>2006</v>
      </c>
      <c r="B206" s="5" t="s">
        <v>14</v>
      </c>
      <c r="C206" s="14">
        <v>513.02595019334603</v>
      </c>
      <c r="D206" s="14">
        <v>495.89431015439402</v>
      </c>
      <c r="E206" s="14">
        <v>494.48298106448698</v>
      </c>
      <c r="F206" s="15">
        <v>49.419843281885598</v>
      </c>
      <c r="G206" s="15" t="s">
        <v>12</v>
      </c>
      <c r="H206" s="15" t="s">
        <v>12</v>
      </c>
      <c r="I206" s="15" t="s">
        <v>12</v>
      </c>
      <c r="J206" s="15" t="s">
        <v>12</v>
      </c>
      <c r="K206" s="15" t="s">
        <v>12</v>
      </c>
      <c r="L206" s="15" t="s">
        <v>12</v>
      </c>
      <c r="M206" s="15" t="s">
        <v>12</v>
      </c>
      <c r="N206" s="15" t="s">
        <v>12</v>
      </c>
      <c r="O206" s="15">
        <v>12</v>
      </c>
      <c r="P206" s="10" t="s">
        <v>12</v>
      </c>
      <c r="Q206" s="15" t="s">
        <v>12</v>
      </c>
      <c r="R206" s="15" t="s">
        <v>12</v>
      </c>
      <c r="S206" s="15" t="s">
        <v>12</v>
      </c>
      <c r="T206" s="15">
        <v>25.9</v>
      </c>
      <c r="U206" s="15" t="s">
        <v>127</v>
      </c>
      <c r="V206" s="15"/>
      <c r="W206" s="15"/>
      <c r="X206" s="15"/>
      <c r="Y206" s="15"/>
      <c r="Z206" s="15"/>
    </row>
    <row r="207" spans="1:26" x14ac:dyDescent="0.15">
      <c r="A207" s="4">
        <v>2006</v>
      </c>
      <c r="B207" s="4" t="s">
        <v>15</v>
      </c>
      <c r="C207" s="11">
        <v>514.57546170233195</v>
      </c>
      <c r="D207" s="11">
        <v>531.39180431083503</v>
      </c>
      <c r="E207" s="11">
        <v>500.74976179293498</v>
      </c>
      <c r="F207" s="12">
        <v>50.310362646546302</v>
      </c>
      <c r="G207" s="12" t="s">
        <v>12</v>
      </c>
      <c r="H207" s="12" t="s">
        <v>12</v>
      </c>
      <c r="I207" s="12" t="s">
        <v>12</v>
      </c>
      <c r="J207" s="12" t="s">
        <v>12</v>
      </c>
      <c r="K207" s="12" t="s">
        <v>12</v>
      </c>
      <c r="L207" s="12" t="s">
        <v>12</v>
      </c>
      <c r="M207" s="12" t="s">
        <v>12</v>
      </c>
      <c r="N207" s="12" t="s">
        <v>12</v>
      </c>
      <c r="O207" s="12">
        <v>15.2921967994314</v>
      </c>
      <c r="P207" s="13" t="s">
        <v>12</v>
      </c>
      <c r="Q207" s="12" t="s">
        <v>12</v>
      </c>
      <c r="R207" s="12" t="s">
        <v>12</v>
      </c>
      <c r="S207" s="12" t="s">
        <v>12</v>
      </c>
      <c r="T207" s="12">
        <v>33.700000000000003</v>
      </c>
      <c r="U207" s="12" t="s">
        <v>127</v>
      </c>
      <c r="V207" s="12"/>
      <c r="W207" s="12"/>
      <c r="X207" s="12"/>
      <c r="Y207" s="12"/>
      <c r="Z207" s="12"/>
    </row>
    <row r="208" spans="1:26" x14ac:dyDescent="0.15">
      <c r="A208" s="5">
        <v>2006</v>
      </c>
      <c r="B208" s="5" t="s">
        <v>16</v>
      </c>
      <c r="C208" s="14">
        <v>548.35839512274902</v>
      </c>
      <c r="D208" s="14">
        <v>563.32283453827404</v>
      </c>
      <c r="E208" s="14">
        <v>546.86828132255903</v>
      </c>
      <c r="F208" s="15">
        <v>48.805933647432298</v>
      </c>
      <c r="G208" s="15" t="s">
        <v>12</v>
      </c>
      <c r="H208" s="15" t="s">
        <v>12</v>
      </c>
      <c r="I208" s="15" t="s">
        <v>12</v>
      </c>
      <c r="J208" s="15" t="s">
        <v>12</v>
      </c>
      <c r="K208" s="15" t="s">
        <v>12</v>
      </c>
      <c r="L208" s="15" t="s">
        <v>12</v>
      </c>
      <c r="M208" s="15" t="s">
        <v>12</v>
      </c>
      <c r="N208" s="15" t="s">
        <v>12</v>
      </c>
      <c r="O208" s="15">
        <v>11.326804207324001</v>
      </c>
      <c r="P208" s="10" t="s">
        <v>12</v>
      </c>
      <c r="Q208" s="15" t="s">
        <v>12</v>
      </c>
      <c r="R208" s="15" t="s">
        <v>12</v>
      </c>
      <c r="S208" s="15" t="s">
        <v>12</v>
      </c>
      <c r="T208" s="15">
        <v>28</v>
      </c>
      <c r="U208" s="15" t="s">
        <v>127</v>
      </c>
      <c r="V208" s="15"/>
      <c r="W208" s="15"/>
      <c r="X208" s="15"/>
      <c r="Y208" s="15"/>
      <c r="Z208" s="15"/>
    </row>
    <row r="209" spans="1:26" x14ac:dyDescent="0.15">
      <c r="A209" s="4">
        <v>2006</v>
      </c>
      <c r="B209" s="4" t="s">
        <v>17</v>
      </c>
      <c r="C209" s="11">
        <v>495.53833286443597</v>
      </c>
      <c r="D209" s="11">
        <v>495.21983899188098</v>
      </c>
      <c r="E209" s="11">
        <v>487.70624693394001</v>
      </c>
      <c r="F209" s="12">
        <v>48.637807592644002</v>
      </c>
      <c r="G209" s="12" t="s">
        <v>12</v>
      </c>
      <c r="H209" s="12" t="s">
        <v>12</v>
      </c>
      <c r="I209" s="12" t="s">
        <v>12</v>
      </c>
      <c r="J209" s="12" t="s">
        <v>12</v>
      </c>
      <c r="K209" s="12" t="s">
        <v>12</v>
      </c>
      <c r="L209" s="12" t="s">
        <v>12</v>
      </c>
      <c r="M209" s="12" t="s">
        <v>12</v>
      </c>
      <c r="N209" s="12" t="s">
        <v>12</v>
      </c>
      <c r="O209" s="12" t="s">
        <v>12</v>
      </c>
      <c r="P209" s="13" t="s">
        <v>12</v>
      </c>
      <c r="Q209" s="12" t="s">
        <v>12</v>
      </c>
      <c r="R209" s="12" t="s">
        <v>12</v>
      </c>
      <c r="S209" s="12" t="s">
        <v>12</v>
      </c>
      <c r="T209" s="12">
        <v>29.7</v>
      </c>
      <c r="U209" s="12" t="s">
        <v>127</v>
      </c>
      <c r="V209" s="12"/>
      <c r="W209" s="12"/>
      <c r="X209" s="12"/>
      <c r="Y209" s="12"/>
      <c r="Z209" s="12"/>
    </row>
    <row r="210" spans="1:26" x14ac:dyDescent="0.15">
      <c r="A210" s="5">
        <v>2006</v>
      </c>
      <c r="B210" s="5" t="s">
        <v>18</v>
      </c>
      <c r="C210" s="14">
        <v>503.79085830625098</v>
      </c>
      <c r="D210" s="14">
        <v>515.64912987563901</v>
      </c>
      <c r="E210" s="14">
        <v>494.94441793196</v>
      </c>
      <c r="F210" s="15">
        <v>49.0409778743564</v>
      </c>
      <c r="G210" s="15" t="s">
        <v>12</v>
      </c>
      <c r="H210" s="15" t="s">
        <v>12</v>
      </c>
      <c r="I210" s="15" t="s">
        <v>12</v>
      </c>
      <c r="J210" s="15" t="s">
        <v>12</v>
      </c>
      <c r="K210" s="15" t="s">
        <v>12</v>
      </c>
      <c r="L210" s="15" t="s">
        <v>12</v>
      </c>
      <c r="M210" s="15" t="s">
        <v>12</v>
      </c>
      <c r="N210" s="15" t="s">
        <v>12</v>
      </c>
      <c r="O210" s="15">
        <v>17.2480836546492</v>
      </c>
      <c r="P210" s="10" t="s">
        <v>12</v>
      </c>
      <c r="Q210" s="15" t="s">
        <v>12</v>
      </c>
      <c r="R210" s="15" t="s">
        <v>12</v>
      </c>
      <c r="S210" s="15" t="s">
        <v>12</v>
      </c>
      <c r="T210" s="15">
        <v>31</v>
      </c>
      <c r="U210" s="15" t="s">
        <v>127</v>
      </c>
      <c r="V210" s="15"/>
      <c r="W210" s="15"/>
      <c r="X210" s="15"/>
      <c r="Y210" s="15"/>
      <c r="Z210" s="15"/>
    </row>
    <row r="211" spans="1:26" x14ac:dyDescent="0.15">
      <c r="A211" s="4">
        <v>2006</v>
      </c>
      <c r="B211" s="4" t="s">
        <v>19</v>
      </c>
      <c r="C211" s="11">
        <v>459.20198671596899</v>
      </c>
      <c r="D211" s="11">
        <v>473.37796397649299</v>
      </c>
      <c r="E211" s="11">
        <v>459.71118469304503</v>
      </c>
      <c r="F211" s="12">
        <v>48.271585630206197</v>
      </c>
      <c r="G211" s="12" t="s">
        <v>12</v>
      </c>
      <c r="H211" s="12" t="s">
        <v>12</v>
      </c>
      <c r="I211" s="12" t="s">
        <v>12</v>
      </c>
      <c r="J211" s="12" t="s">
        <v>12</v>
      </c>
      <c r="K211" s="12" t="s">
        <v>12</v>
      </c>
      <c r="L211" s="12" t="s">
        <v>12</v>
      </c>
      <c r="M211" s="12" t="s">
        <v>12</v>
      </c>
      <c r="N211" s="12" t="s">
        <v>12</v>
      </c>
      <c r="O211" s="12">
        <v>8.9238940435672305</v>
      </c>
      <c r="P211" s="13" t="s">
        <v>12</v>
      </c>
      <c r="Q211" s="12" t="s">
        <v>12</v>
      </c>
      <c r="R211" s="12" t="s">
        <v>12</v>
      </c>
      <c r="S211" s="12" t="s">
        <v>12</v>
      </c>
      <c r="T211" s="12">
        <v>35.1</v>
      </c>
      <c r="U211" s="12" t="s">
        <v>127</v>
      </c>
      <c r="V211" s="12"/>
      <c r="W211" s="12"/>
      <c r="X211" s="12"/>
      <c r="Y211" s="12"/>
      <c r="Z211" s="12"/>
    </row>
    <row r="212" spans="1:26" x14ac:dyDescent="0.15">
      <c r="A212" s="5">
        <v>2006</v>
      </c>
      <c r="B212" s="5" t="s">
        <v>20</v>
      </c>
      <c r="C212" s="14">
        <v>490.93738300313402</v>
      </c>
      <c r="D212" s="14">
        <v>503.931728969483</v>
      </c>
      <c r="E212" s="14">
        <v>482.37451747530298</v>
      </c>
      <c r="F212" s="15">
        <v>47.803841800985097</v>
      </c>
      <c r="G212" s="15" t="s">
        <v>12</v>
      </c>
      <c r="H212" s="15" t="s">
        <v>12</v>
      </c>
      <c r="I212" s="15" t="s">
        <v>12</v>
      </c>
      <c r="J212" s="15" t="s">
        <v>12</v>
      </c>
      <c r="K212" s="15" t="s">
        <v>12</v>
      </c>
      <c r="L212" s="15" t="s">
        <v>12</v>
      </c>
      <c r="M212" s="15" t="s">
        <v>12</v>
      </c>
      <c r="N212" s="15" t="s">
        <v>12</v>
      </c>
      <c r="O212" s="15">
        <v>12.1254684133611</v>
      </c>
      <c r="P212" s="10" t="s">
        <v>12</v>
      </c>
      <c r="Q212" s="15" t="s">
        <v>12</v>
      </c>
      <c r="R212" s="15" t="s">
        <v>12</v>
      </c>
      <c r="S212" s="15" t="s">
        <v>12</v>
      </c>
      <c r="T212" s="15">
        <v>28.3</v>
      </c>
      <c r="U212" s="15" t="s">
        <v>127</v>
      </c>
      <c r="V212" s="15"/>
      <c r="W212" s="15"/>
      <c r="X212" s="15"/>
      <c r="Y212" s="15"/>
      <c r="Z212" s="15"/>
    </row>
    <row r="213" spans="1:26" x14ac:dyDescent="0.15">
      <c r="A213" s="4">
        <v>2006</v>
      </c>
      <c r="B213" s="4" t="s">
        <v>21</v>
      </c>
      <c r="C213" s="11">
        <v>505.544828285265</v>
      </c>
      <c r="D213" s="11">
        <v>490.79377445115603</v>
      </c>
      <c r="E213" s="11">
        <v>484.44527196361798</v>
      </c>
      <c r="F213" s="12">
        <v>53.934122293192097</v>
      </c>
      <c r="G213" s="12" t="s">
        <v>12</v>
      </c>
      <c r="H213" s="12" t="s">
        <v>12</v>
      </c>
      <c r="I213" s="12" t="s">
        <v>12</v>
      </c>
      <c r="J213" s="12" t="s">
        <v>12</v>
      </c>
      <c r="K213" s="12" t="s">
        <v>12</v>
      </c>
      <c r="L213" s="12" t="s">
        <v>12</v>
      </c>
      <c r="M213" s="12" t="s">
        <v>12</v>
      </c>
      <c r="N213" s="12" t="s">
        <v>12</v>
      </c>
      <c r="O213" s="12">
        <v>10.8819576052618</v>
      </c>
      <c r="P213" s="13" t="s">
        <v>12</v>
      </c>
      <c r="Q213" s="12" t="s">
        <v>12</v>
      </c>
      <c r="R213" s="12" t="s">
        <v>12</v>
      </c>
      <c r="S213" s="12" t="s">
        <v>12</v>
      </c>
      <c r="T213" s="12">
        <v>30.2</v>
      </c>
      <c r="U213" s="12" t="s">
        <v>127</v>
      </c>
      <c r="V213" s="12"/>
      <c r="W213" s="12"/>
      <c r="X213" s="12"/>
      <c r="Y213" s="12"/>
      <c r="Z213" s="12"/>
    </row>
    <row r="214" spans="1:26" x14ac:dyDescent="0.15">
      <c r="A214" s="5">
        <v>2006</v>
      </c>
      <c r="B214" s="5" t="s">
        <v>22</v>
      </c>
      <c r="C214" s="14">
        <v>501.47177111731099</v>
      </c>
      <c r="D214" s="14">
        <v>508.32892994343598</v>
      </c>
      <c r="E214" s="14">
        <v>517.31323821893602</v>
      </c>
      <c r="F214" s="15">
        <v>48.982868181988202</v>
      </c>
      <c r="G214" s="15" t="s">
        <v>12</v>
      </c>
      <c r="H214" s="15" t="s">
        <v>12</v>
      </c>
      <c r="I214" s="15" t="s">
        <v>12</v>
      </c>
      <c r="J214" s="15" t="s">
        <v>12</v>
      </c>
      <c r="K214" s="15" t="s">
        <v>12</v>
      </c>
      <c r="L214" s="15" t="s">
        <v>12</v>
      </c>
      <c r="M214" s="15" t="s">
        <v>12</v>
      </c>
      <c r="N214" s="15" t="s">
        <v>12</v>
      </c>
      <c r="O214" s="15">
        <v>13.322056640828899</v>
      </c>
      <c r="P214" s="10" t="s">
        <v>12</v>
      </c>
      <c r="Q214" s="15" t="s">
        <v>12</v>
      </c>
      <c r="R214" s="15" t="s">
        <v>12</v>
      </c>
      <c r="S214" s="15" t="s">
        <v>12</v>
      </c>
      <c r="T214" s="15">
        <v>32.700000000000003</v>
      </c>
      <c r="U214" s="15" t="s">
        <v>127</v>
      </c>
      <c r="V214" s="15"/>
      <c r="W214" s="15"/>
      <c r="X214" s="15"/>
      <c r="Y214" s="15"/>
      <c r="Z214" s="15"/>
    </row>
    <row r="215" spans="1:26" x14ac:dyDescent="0.15">
      <c r="A215" s="4">
        <v>2006</v>
      </c>
      <c r="B215" s="4" t="s">
        <v>23</v>
      </c>
      <c r="C215" s="11">
        <v>441.85872775246099</v>
      </c>
      <c r="D215" s="11">
        <v>453.90370808611198</v>
      </c>
      <c r="E215" s="11">
        <v>438.67227483925001</v>
      </c>
      <c r="F215" s="12">
        <v>53.4</v>
      </c>
      <c r="G215" s="12" t="s">
        <v>12</v>
      </c>
      <c r="H215" s="12" t="s">
        <v>12</v>
      </c>
      <c r="I215" s="12" t="s">
        <v>12</v>
      </c>
      <c r="J215" s="12" t="s">
        <v>12</v>
      </c>
      <c r="K215" s="12" t="s">
        <v>12</v>
      </c>
      <c r="L215" s="12" t="s">
        <v>12</v>
      </c>
      <c r="M215" s="12" t="s">
        <v>12</v>
      </c>
      <c r="N215" s="12" t="s">
        <v>12</v>
      </c>
      <c r="O215" s="12">
        <v>12.6827598783988</v>
      </c>
      <c r="P215" s="13" t="s">
        <v>12</v>
      </c>
      <c r="Q215" s="12" t="s">
        <v>12</v>
      </c>
      <c r="R215" s="12" t="s">
        <v>12</v>
      </c>
      <c r="S215" s="12" t="s">
        <v>12</v>
      </c>
      <c r="T215" s="12">
        <v>41.6</v>
      </c>
      <c r="U215" s="12" t="s">
        <v>132</v>
      </c>
      <c r="V215" s="12"/>
      <c r="W215" s="12"/>
      <c r="X215" s="12"/>
      <c r="Y215" s="12"/>
      <c r="Z215" s="12"/>
    </row>
    <row r="216" spans="1:26" x14ac:dyDescent="0.15">
      <c r="A216" s="5">
        <v>2006</v>
      </c>
      <c r="B216" s="5" t="s">
        <v>24</v>
      </c>
      <c r="C216" s="14">
        <v>461.688720801908</v>
      </c>
      <c r="D216" s="14">
        <v>475.39722054935902</v>
      </c>
      <c r="E216" s="14">
        <v>468.52310872731601</v>
      </c>
      <c r="F216" s="15">
        <v>46.401239229454703</v>
      </c>
      <c r="G216" s="15" t="s">
        <v>12</v>
      </c>
      <c r="H216" s="15" t="s">
        <v>12</v>
      </c>
      <c r="I216" s="15" t="s">
        <v>12</v>
      </c>
      <c r="J216" s="15" t="s">
        <v>12</v>
      </c>
      <c r="K216" s="15" t="s">
        <v>12</v>
      </c>
      <c r="L216" s="15" t="s">
        <v>12</v>
      </c>
      <c r="M216" s="15" t="s">
        <v>12</v>
      </c>
      <c r="N216" s="15" t="s">
        <v>12</v>
      </c>
      <c r="O216" s="15">
        <v>9.1818075902793996</v>
      </c>
      <c r="P216" s="10" t="s">
        <v>12</v>
      </c>
      <c r="Q216" s="15" t="s">
        <v>12</v>
      </c>
      <c r="R216" s="15" t="s">
        <v>12</v>
      </c>
      <c r="S216" s="15" t="s">
        <v>12</v>
      </c>
      <c r="T216" s="15">
        <v>33.700000000000003</v>
      </c>
      <c r="U216" s="15" t="s">
        <v>127</v>
      </c>
      <c r="V216" s="15"/>
      <c r="W216" s="15"/>
      <c r="X216" s="15"/>
      <c r="Y216" s="15"/>
      <c r="Z216" s="15"/>
    </row>
    <row r="217" spans="1:26" x14ac:dyDescent="0.15">
      <c r="A217" s="4">
        <v>2006</v>
      </c>
      <c r="B217" s="4" t="s">
        <v>25</v>
      </c>
      <c r="C217" s="11">
        <v>523.10251518708003</v>
      </c>
      <c r="D217" s="11">
        <v>531.38850905181198</v>
      </c>
      <c r="E217" s="11">
        <v>497.95706874513201</v>
      </c>
      <c r="F217" s="12">
        <v>50.271259311312797</v>
      </c>
      <c r="G217" s="12" t="s">
        <v>12</v>
      </c>
      <c r="H217" s="12" t="s">
        <v>12</v>
      </c>
      <c r="I217" s="12" t="s">
        <v>12</v>
      </c>
      <c r="J217" s="12" t="s">
        <v>12</v>
      </c>
      <c r="K217" s="12" t="s">
        <v>12</v>
      </c>
      <c r="L217" s="12" t="s">
        <v>12</v>
      </c>
      <c r="M217" s="12" t="s">
        <v>12</v>
      </c>
      <c r="N217" s="12" t="s">
        <v>12</v>
      </c>
      <c r="O217" s="12">
        <v>12.8367696362932</v>
      </c>
      <c r="P217" s="13" t="s">
        <v>12</v>
      </c>
      <c r="Q217" s="12" t="s">
        <v>12</v>
      </c>
      <c r="R217" s="12" t="s">
        <v>12</v>
      </c>
      <c r="S217" s="12" t="s">
        <v>12</v>
      </c>
      <c r="T217" s="12">
        <v>0</v>
      </c>
      <c r="U217" s="12" t="s">
        <v>129</v>
      </c>
      <c r="V217" s="12"/>
      <c r="W217" s="12"/>
      <c r="X217" s="12"/>
      <c r="Y217" s="12"/>
      <c r="Z217" s="12"/>
    </row>
    <row r="218" spans="1:26" x14ac:dyDescent="0.15">
      <c r="A218" s="5">
        <v>2006</v>
      </c>
      <c r="B218" s="5" t="s">
        <v>26</v>
      </c>
      <c r="C218" s="14">
        <v>547.45847881515203</v>
      </c>
      <c r="D218" s="14">
        <v>522.14814133481696</v>
      </c>
      <c r="E218" s="14">
        <v>556.02191025739501</v>
      </c>
      <c r="F218" s="15">
        <v>50.030898125258197</v>
      </c>
      <c r="G218" s="15" t="s">
        <v>12</v>
      </c>
      <c r="H218" s="15" t="s">
        <v>12</v>
      </c>
      <c r="I218" s="15" t="s">
        <v>12</v>
      </c>
      <c r="J218" s="15" t="s">
        <v>12</v>
      </c>
      <c r="K218" s="15" t="s">
        <v>12</v>
      </c>
      <c r="L218" s="15" t="s">
        <v>12</v>
      </c>
      <c r="M218" s="15" t="s">
        <v>12</v>
      </c>
      <c r="N218" s="15" t="s">
        <v>12</v>
      </c>
      <c r="O218" s="15">
        <v>16.348170087583</v>
      </c>
      <c r="P218" s="10" t="s">
        <v>12</v>
      </c>
      <c r="Q218" s="15" t="s">
        <v>12</v>
      </c>
      <c r="R218" s="15" t="s">
        <v>12</v>
      </c>
      <c r="S218" s="15" t="s">
        <v>12</v>
      </c>
      <c r="T218" s="15" t="s">
        <v>125</v>
      </c>
      <c r="U218" s="15" t="s">
        <v>129</v>
      </c>
      <c r="V218" s="15"/>
      <c r="W218" s="15"/>
      <c r="X218" s="15"/>
      <c r="Y218" s="15"/>
      <c r="Z218" s="15"/>
    </row>
    <row r="219" spans="1:26" x14ac:dyDescent="0.15">
      <c r="A219" s="4">
        <v>2006</v>
      </c>
      <c r="B219" s="4" t="s">
        <v>27</v>
      </c>
      <c r="C219" s="11">
        <v>486.16608346450602</v>
      </c>
      <c r="D219" s="11">
        <v>489.54377817062402</v>
      </c>
      <c r="E219" s="11">
        <v>479.49183543223899</v>
      </c>
      <c r="F219" s="12">
        <v>48.482673390402397</v>
      </c>
      <c r="G219" s="12" t="s">
        <v>12</v>
      </c>
      <c r="H219" s="12" t="s">
        <v>12</v>
      </c>
      <c r="I219" s="12" t="s">
        <v>12</v>
      </c>
      <c r="J219" s="12" t="s">
        <v>12</v>
      </c>
      <c r="K219" s="12" t="s">
        <v>12</v>
      </c>
      <c r="L219" s="12" t="s">
        <v>12</v>
      </c>
      <c r="M219" s="12" t="s">
        <v>12</v>
      </c>
      <c r="N219" s="12" t="s">
        <v>12</v>
      </c>
      <c r="O219" s="12">
        <v>11.715261534656401</v>
      </c>
      <c r="P219" s="13" t="s">
        <v>12</v>
      </c>
      <c r="Q219" s="12" t="s">
        <v>12</v>
      </c>
      <c r="R219" s="12" t="s">
        <v>12</v>
      </c>
      <c r="S219" s="12" t="s">
        <v>12</v>
      </c>
      <c r="T219" s="12">
        <v>35.6</v>
      </c>
      <c r="U219" s="12" t="s">
        <v>127</v>
      </c>
      <c r="V219" s="12"/>
      <c r="W219" s="12"/>
      <c r="X219" s="12"/>
      <c r="Y219" s="12"/>
      <c r="Z219" s="12"/>
    </row>
    <row r="220" spans="1:26" x14ac:dyDescent="0.15">
      <c r="A220" s="5">
        <v>2006</v>
      </c>
      <c r="B220" s="5" t="s">
        <v>28</v>
      </c>
      <c r="C220" s="14">
        <v>486.421334787376</v>
      </c>
      <c r="D220" s="14">
        <v>487.95669825500602</v>
      </c>
      <c r="E220" s="14">
        <v>470.07075567321198</v>
      </c>
      <c r="F220" s="15">
        <v>49.726001911021299</v>
      </c>
      <c r="G220" s="15" t="s">
        <v>12</v>
      </c>
      <c r="H220" s="15" t="s">
        <v>12</v>
      </c>
      <c r="I220" s="15" t="s">
        <v>12</v>
      </c>
      <c r="J220" s="15" t="s">
        <v>12</v>
      </c>
      <c r="K220" s="15" t="s">
        <v>12</v>
      </c>
      <c r="L220" s="15" t="s">
        <v>12</v>
      </c>
      <c r="M220" s="15" t="s">
        <v>12</v>
      </c>
      <c r="N220" s="15" t="s">
        <v>12</v>
      </c>
      <c r="O220" s="15">
        <v>12.107376896938</v>
      </c>
      <c r="P220" s="10" t="s">
        <v>12</v>
      </c>
      <c r="Q220" s="15" t="s">
        <v>12</v>
      </c>
      <c r="R220" s="15" t="s">
        <v>12</v>
      </c>
      <c r="S220" s="15" t="s">
        <v>12</v>
      </c>
      <c r="T220" s="15">
        <v>34.4</v>
      </c>
      <c r="U220" s="15" t="s">
        <v>127</v>
      </c>
      <c r="V220" s="15"/>
      <c r="W220" s="15"/>
      <c r="X220" s="15"/>
      <c r="Y220" s="15"/>
      <c r="Z220" s="15"/>
    </row>
    <row r="221" spans="1:26" x14ac:dyDescent="0.15">
      <c r="A221" s="4">
        <v>2006</v>
      </c>
      <c r="B221" s="4" t="s">
        <v>29</v>
      </c>
      <c r="C221" s="11">
        <v>490.00184036049302</v>
      </c>
      <c r="D221" s="11">
        <v>486.32436296630601</v>
      </c>
      <c r="E221" s="11">
        <v>479.36654157018103</v>
      </c>
      <c r="F221" s="12">
        <v>47.669735825540499</v>
      </c>
      <c r="G221" s="12" t="s">
        <v>12</v>
      </c>
      <c r="H221" s="12" t="s">
        <v>12</v>
      </c>
      <c r="I221" s="12" t="s">
        <v>12</v>
      </c>
      <c r="J221" s="12" t="s">
        <v>12</v>
      </c>
      <c r="K221" s="12" t="s">
        <v>12</v>
      </c>
      <c r="L221" s="12" t="s">
        <v>12</v>
      </c>
      <c r="M221" s="12" t="s">
        <v>12</v>
      </c>
      <c r="N221" s="12" t="s">
        <v>12</v>
      </c>
      <c r="O221" s="12">
        <v>9.4647641678211301</v>
      </c>
      <c r="P221" s="13" t="s">
        <v>12</v>
      </c>
      <c r="Q221" s="12" t="s">
        <v>12</v>
      </c>
      <c r="R221" s="12" t="s">
        <v>12</v>
      </c>
      <c r="S221" s="12" t="s">
        <v>12</v>
      </c>
      <c r="T221" s="12">
        <v>30.9</v>
      </c>
      <c r="U221" s="12" t="s">
        <v>127</v>
      </c>
      <c r="V221" s="12"/>
      <c r="W221" s="12"/>
      <c r="X221" s="12"/>
      <c r="Y221" s="12"/>
      <c r="Z221" s="12"/>
    </row>
    <row r="222" spans="1:26" x14ac:dyDescent="0.15">
      <c r="A222" s="5">
        <v>2006</v>
      </c>
      <c r="B222" s="5" t="s">
        <v>30</v>
      </c>
      <c r="C222" s="14">
        <v>405.65463976696799</v>
      </c>
      <c r="D222" s="14">
        <v>409.65195163437602</v>
      </c>
      <c r="E222" s="14">
        <v>410.496454832805</v>
      </c>
      <c r="F222" s="15">
        <v>41.924683571628201</v>
      </c>
      <c r="G222" s="15" t="s">
        <v>12</v>
      </c>
      <c r="H222" s="15" t="s">
        <v>12</v>
      </c>
      <c r="I222" s="15" t="s">
        <v>12</v>
      </c>
      <c r="J222" s="15" t="s">
        <v>12</v>
      </c>
      <c r="K222" s="15" t="s">
        <v>12</v>
      </c>
      <c r="L222" s="15" t="s">
        <v>12</v>
      </c>
      <c r="M222" s="15" t="s">
        <v>12</v>
      </c>
      <c r="N222" s="15" t="s">
        <v>12</v>
      </c>
      <c r="O222" s="15">
        <v>27</v>
      </c>
      <c r="P222" s="10" t="s">
        <v>12</v>
      </c>
      <c r="Q222" s="15" t="s">
        <v>12</v>
      </c>
      <c r="R222" s="15" t="s">
        <v>12</v>
      </c>
      <c r="S222" s="15" t="s">
        <v>12</v>
      </c>
      <c r="T222" s="15">
        <v>49.7</v>
      </c>
      <c r="U222" s="15" t="s">
        <v>128</v>
      </c>
      <c r="V222" s="15"/>
      <c r="W222" s="15"/>
      <c r="X222" s="15"/>
      <c r="Y222" s="15"/>
      <c r="Z222" s="15"/>
    </row>
    <row r="223" spans="1:26" x14ac:dyDescent="0.15">
      <c r="A223" s="4">
        <v>2006</v>
      </c>
      <c r="B223" s="4" t="s">
        <v>31</v>
      </c>
      <c r="C223" s="11">
        <v>530.654046403508</v>
      </c>
      <c r="D223" s="11">
        <v>524.86150629401095</v>
      </c>
      <c r="E223" s="11">
        <v>506.74697098667201</v>
      </c>
      <c r="F223" s="12">
        <v>51.45689091565</v>
      </c>
      <c r="G223" s="12" t="s">
        <v>12</v>
      </c>
      <c r="H223" s="12" t="s">
        <v>12</v>
      </c>
      <c r="I223" s="12" t="s">
        <v>12</v>
      </c>
      <c r="J223" s="12" t="s">
        <v>12</v>
      </c>
      <c r="K223" s="12" t="s">
        <v>12</v>
      </c>
      <c r="L223" s="12" t="s">
        <v>12</v>
      </c>
      <c r="M223" s="12" t="s">
        <v>12</v>
      </c>
      <c r="N223" s="12" t="s">
        <v>12</v>
      </c>
      <c r="O223" s="12">
        <v>15.9622487965063</v>
      </c>
      <c r="P223" s="13" t="s">
        <v>12</v>
      </c>
      <c r="Q223" s="12" t="s">
        <v>12</v>
      </c>
      <c r="R223" s="12" t="s">
        <v>12</v>
      </c>
      <c r="S223" s="12" t="s">
        <v>12</v>
      </c>
      <c r="T223" s="12">
        <v>30</v>
      </c>
      <c r="U223" s="12" t="s">
        <v>127</v>
      </c>
      <c r="V223" s="12"/>
      <c r="W223" s="12"/>
      <c r="X223" s="12"/>
      <c r="Y223" s="12"/>
      <c r="Z223" s="12"/>
    </row>
    <row r="224" spans="1:26" x14ac:dyDescent="0.15">
      <c r="A224" s="5">
        <v>2006</v>
      </c>
      <c r="B224" s="5" t="s">
        <v>32</v>
      </c>
      <c r="C224" s="14">
        <v>521.988848532372</v>
      </c>
      <c r="D224" s="14">
        <v>530.38436076112498</v>
      </c>
      <c r="E224" s="14">
        <v>521.032645066486</v>
      </c>
      <c r="F224" s="15">
        <v>51.581198583036098</v>
      </c>
      <c r="G224" s="15" t="s">
        <v>12</v>
      </c>
      <c r="H224" s="15" t="s">
        <v>12</v>
      </c>
      <c r="I224" s="15" t="s">
        <v>12</v>
      </c>
      <c r="J224" s="15" t="s">
        <v>12</v>
      </c>
      <c r="K224" s="15" t="s">
        <v>12</v>
      </c>
      <c r="L224" s="15" t="s">
        <v>12</v>
      </c>
      <c r="M224" s="15" t="s">
        <v>12</v>
      </c>
      <c r="N224" s="15" t="s">
        <v>12</v>
      </c>
      <c r="O224" s="15">
        <v>15.7678450479617</v>
      </c>
      <c r="P224" s="10" t="s">
        <v>12</v>
      </c>
      <c r="Q224" s="15" t="s">
        <v>12</v>
      </c>
      <c r="R224" s="15" t="s">
        <v>12</v>
      </c>
      <c r="S224" s="15" t="s">
        <v>12</v>
      </c>
      <c r="T224" s="15">
        <v>0</v>
      </c>
      <c r="U224" s="15" t="s">
        <v>130</v>
      </c>
      <c r="V224" s="15"/>
      <c r="W224" s="15"/>
      <c r="X224" s="15"/>
      <c r="Y224" s="15"/>
      <c r="Z224" s="15"/>
    </row>
    <row r="225" spans="1:26" x14ac:dyDescent="0.15">
      <c r="A225" s="4">
        <v>2006</v>
      </c>
      <c r="B225" s="4" t="s">
        <v>33</v>
      </c>
      <c r="C225" s="11">
        <v>489.846353153488</v>
      </c>
      <c r="D225" s="11">
        <v>486.52795747727203</v>
      </c>
      <c r="E225" s="11">
        <v>484.29256304037301</v>
      </c>
      <c r="F225" s="12">
        <v>53.111773224774403</v>
      </c>
      <c r="G225" s="12" t="s">
        <v>12</v>
      </c>
      <c r="H225" s="12" t="s">
        <v>12</v>
      </c>
      <c r="I225" s="12" t="s">
        <v>12</v>
      </c>
      <c r="J225" s="12" t="s">
        <v>12</v>
      </c>
      <c r="K225" s="12" t="s">
        <v>12</v>
      </c>
      <c r="L225" s="12" t="s">
        <v>12</v>
      </c>
      <c r="M225" s="12" t="s">
        <v>12</v>
      </c>
      <c r="N225" s="12" t="s">
        <v>12</v>
      </c>
      <c r="O225" s="12">
        <v>10.734717553073301</v>
      </c>
      <c r="P225" s="13" t="s">
        <v>12</v>
      </c>
      <c r="Q225" s="12" t="s">
        <v>12</v>
      </c>
      <c r="R225" s="12" t="s">
        <v>12</v>
      </c>
      <c r="S225" s="12" t="s">
        <v>12</v>
      </c>
      <c r="T225" s="12">
        <v>26.4</v>
      </c>
      <c r="U225" s="12" t="s">
        <v>127</v>
      </c>
      <c r="V225" s="12"/>
      <c r="W225" s="12"/>
      <c r="X225" s="12"/>
      <c r="Y225" s="12"/>
      <c r="Z225" s="12"/>
    </row>
    <row r="226" spans="1:26" x14ac:dyDescent="0.15">
      <c r="A226" s="5">
        <v>2006</v>
      </c>
      <c r="B226" s="5" t="s">
        <v>34</v>
      </c>
      <c r="C226" s="14">
        <v>495.428496857271</v>
      </c>
      <c r="D226" s="14">
        <v>497.806502274107</v>
      </c>
      <c r="E226" s="14">
        <v>507.63952725124301</v>
      </c>
      <c r="F226" s="15">
        <v>44.398973994873799</v>
      </c>
      <c r="G226" s="15" t="s">
        <v>12</v>
      </c>
      <c r="H226" s="15" t="s">
        <v>12</v>
      </c>
      <c r="I226" s="15" t="s">
        <v>12</v>
      </c>
      <c r="J226" s="15" t="s">
        <v>12</v>
      </c>
      <c r="K226" s="15" t="s">
        <v>12</v>
      </c>
      <c r="L226" s="15" t="s">
        <v>12</v>
      </c>
      <c r="M226" s="15" t="s">
        <v>12</v>
      </c>
      <c r="N226" s="15" t="s">
        <v>12</v>
      </c>
      <c r="O226" s="15">
        <v>11.3188932367097</v>
      </c>
      <c r="P226" s="10" t="s">
        <v>12</v>
      </c>
      <c r="Q226" s="15" t="s">
        <v>12</v>
      </c>
      <c r="R226" s="15" t="s">
        <v>12</v>
      </c>
      <c r="S226" s="15" t="s">
        <v>12</v>
      </c>
      <c r="T226" s="15">
        <v>34.700000000000003</v>
      </c>
      <c r="U226" s="15" t="s">
        <v>127</v>
      </c>
      <c r="V226" s="15"/>
      <c r="W226" s="15"/>
      <c r="X226" s="15"/>
      <c r="Y226" s="15"/>
      <c r="Z226" s="15"/>
    </row>
    <row r="227" spans="1:26" x14ac:dyDescent="0.15">
      <c r="A227" s="4">
        <v>2006</v>
      </c>
      <c r="B227" s="4" t="s">
        <v>35</v>
      </c>
      <c r="C227" s="11">
        <v>466.16098569892898</v>
      </c>
      <c r="D227" s="11">
        <v>474.30588915776099</v>
      </c>
      <c r="E227" s="11">
        <v>472.30430504318798</v>
      </c>
      <c r="F227" s="12">
        <v>41.680115270765803</v>
      </c>
      <c r="G227" s="12" t="s">
        <v>12</v>
      </c>
      <c r="H227" s="12" t="s">
        <v>12</v>
      </c>
      <c r="I227" s="12" t="s">
        <v>12</v>
      </c>
      <c r="J227" s="12" t="s">
        <v>12</v>
      </c>
      <c r="K227" s="12" t="s">
        <v>12</v>
      </c>
      <c r="L227" s="12" t="s">
        <v>12</v>
      </c>
      <c r="M227" s="12" t="s">
        <v>12</v>
      </c>
      <c r="N227" s="12" t="s">
        <v>12</v>
      </c>
      <c r="O227" s="12">
        <v>8.8825049615312004</v>
      </c>
      <c r="P227" s="13" t="s">
        <v>12</v>
      </c>
      <c r="Q227" s="12" t="s">
        <v>12</v>
      </c>
      <c r="R227" s="12" t="s">
        <v>12</v>
      </c>
      <c r="S227" s="12" t="s">
        <v>12</v>
      </c>
      <c r="T227" s="12">
        <v>38.1</v>
      </c>
      <c r="U227" s="12" t="s">
        <v>127</v>
      </c>
      <c r="V227" s="12"/>
      <c r="W227" s="12"/>
      <c r="X227" s="12"/>
      <c r="Y227" s="12"/>
      <c r="Z227" s="12"/>
    </row>
    <row r="228" spans="1:26" x14ac:dyDescent="0.15">
      <c r="A228" s="5">
        <v>2006</v>
      </c>
      <c r="B228" s="5" t="s">
        <v>36</v>
      </c>
      <c r="C228" s="14">
        <v>492.10623790658298</v>
      </c>
      <c r="D228" s="14">
        <v>488.433398569752</v>
      </c>
      <c r="E228" s="14">
        <v>466.349768837243</v>
      </c>
      <c r="F228" s="15">
        <v>47.246923146419803</v>
      </c>
      <c r="G228" s="15" t="s">
        <v>12</v>
      </c>
      <c r="H228" s="15" t="s">
        <v>12</v>
      </c>
      <c r="I228" s="15" t="s">
        <v>12</v>
      </c>
      <c r="J228" s="15" t="s">
        <v>12</v>
      </c>
      <c r="K228" s="15" t="s">
        <v>12</v>
      </c>
      <c r="L228" s="15" t="s">
        <v>12</v>
      </c>
      <c r="M228" s="15" t="s">
        <v>12</v>
      </c>
      <c r="N228" s="15" t="s">
        <v>12</v>
      </c>
      <c r="O228" s="15">
        <v>15.0437822931029</v>
      </c>
      <c r="P228" s="10" t="s">
        <v>12</v>
      </c>
      <c r="Q228" s="15" t="s">
        <v>12</v>
      </c>
      <c r="R228" s="15" t="s">
        <v>12</v>
      </c>
      <c r="S228" s="15" t="s">
        <v>12</v>
      </c>
      <c r="T228" s="15" t="s">
        <v>125</v>
      </c>
      <c r="U228" s="15" t="s">
        <v>127</v>
      </c>
      <c r="V228" s="15"/>
      <c r="W228" s="15"/>
      <c r="X228" s="15"/>
      <c r="Y228" s="15"/>
      <c r="Z228" s="15"/>
    </row>
    <row r="229" spans="1:26" x14ac:dyDescent="0.15">
      <c r="A229" s="4">
        <v>2006</v>
      </c>
      <c r="B229" s="4" t="s">
        <v>37</v>
      </c>
      <c r="C229" s="11">
        <v>504.455963817407</v>
      </c>
      <c r="D229" s="11">
        <v>518.81560980213897</v>
      </c>
      <c r="E229" s="11">
        <v>494.40903688263001</v>
      </c>
      <c r="F229" s="12">
        <v>49.8939180643086</v>
      </c>
      <c r="G229" s="12" t="s">
        <v>12</v>
      </c>
      <c r="H229" s="12" t="s">
        <v>12</v>
      </c>
      <c r="I229" s="12" t="s">
        <v>12</v>
      </c>
      <c r="J229" s="12" t="s">
        <v>12</v>
      </c>
      <c r="K229" s="12" t="s">
        <v>12</v>
      </c>
      <c r="L229" s="12" t="s">
        <v>12</v>
      </c>
      <c r="M229" s="12" t="s">
        <v>12</v>
      </c>
      <c r="N229" s="12" t="s">
        <v>12</v>
      </c>
      <c r="O229" s="12">
        <v>14.3035775487874</v>
      </c>
      <c r="P229" s="13" t="s">
        <v>12</v>
      </c>
      <c r="Q229" s="12" t="s">
        <v>12</v>
      </c>
      <c r="R229" s="12" t="s">
        <v>12</v>
      </c>
      <c r="S229" s="12" t="s">
        <v>12</v>
      </c>
      <c r="T229" s="12">
        <v>24.4</v>
      </c>
      <c r="U229" s="12" t="s">
        <v>127</v>
      </c>
      <c r="V229" s="12"/>
      <c r="W229" s="12"/>
      <c r="X229" s="12"/>
      <c r="Y229" s="12"/>
      <c r="Z229" s="12"/>
    </row>
    <row r="230" spans="1:26" x14ac:dyDescent="0.15">
      <c r="A230" s="5">
        <v>2006</v>
      </c>
      <c r="B230" s="5" t="s">
        <v>38</v>
      </c>
      <c r="C230" s="14">
        <v>479.95750699749499</v>
      </c>
      <c r="D230" s="14">
        <v>488.42452269356698</v>
      </c>
      <c r="E230" s="14">
        <v>460.83011207178703</v>
      </c>
      <c r="F230" s="15">
        <v>44.813082635018397</v>
      </c>
      <c r="G230" s="15" t="s">
        <v>12</v>
      </c>
      <c r="H230" s="15" t="s">
        <v>12</v>
      </c>
      <c r="I230" s="15" t="s">
        <v>12</v>
      </c>
      <c r="J230" s="15" t="s">
        <v>12</v>
      </c>
      <c r="K230" s="15" t="s">
        <v>12</v>
      </c>
      <c r="L230" s="15" t="s">
        <v>12</v>
      </c>
      <c r="M230" s="15" t="s">
        <v>12</v>
      </c>
      <c r="N230" s="15" t="s">
        <v>12</v>
      </c>
      <c r="O230" s="15">
        <v>12.363261540965</v>
      </c>
      <c r="P230" s="10" t="s">
        <v>12</v>
      </c>
      <c r="Q230" s="15" t="s">
        <v>12</v>
      </c>
      <c r="R230" s="15" t="s">
        <v>12</v>
      </c>
      <c r="S230" s="15" t="s">
        <v>12</v>
      </c>
      <c r="T230" s="15">
        <v>33.5</v>
      </c>
      <c r="U230" s="15" t="s">
        <v>127</v>
      </c>
      <c r="V230" s="15"/>
      <c r="W230" s="15"/>
      <c r="X230" s="15"/>
      <c r="Y230" s="15"/>
      <c r="Z230" s="15"/>
    </row>
    <row r="231" spans="1:26" x14ac:dyDescent="0.15">
      <c r="A231" s="4">
        <v>2006</v>
      </c>
      <c r="B231" s="4" t="s">
        <v>39</v>
      </c>
      <c r="C231" s="11">
        <v>502.35639820674697</v>
      </c>
      <c r="D231" s="11">
        <v>503.33400592654903</v>
      </c>
      <c r="E231" s="11">
        <v>507.312880170987</v>
      </c>
      <c r="F231" s="12">
        <v>50.672125113307402</v>
      </c>
      <c r="G231" s="12" t="s">
        <v>12</v>
      </c>
      <c r="H231" s="12" t="s">
        <v>12</v>
      </c>
      <c r="I231" s="12" t="s">
        <v>12</v>
      </c>
      <c r="J231" s="12" t="s">
        <v>12</v>
      </c>
      <c r="K231" s="12" t="s">
        <v>12</v>
      </c>
      <c r="L231" s="12" t="s">
        <v>12</v>
      </c>
      <c r="M231" s="12" t="s">
        <v>12</v>
      </c>
      <c r="N231" s="12" t="s">
        <v>12</v>
      </c>
      <c r="O231" s="12">
        <v>12.344638521708299</v>
      </c>
      <c r="P231" s="13" t="s">
        <v>12</v>
      </c>
      <c r="Q231" s="12" t="s">
        <v>12</v>
      </c>
      <c r="R231" s="12" t="s">
        <v>12</v>
      </c>
      <c r="S231" s="12" t="s">
        <v>12</v>
      </c>
      <c r="T231" s="12">
        <v>26.4</v>
      </c>
      <c r="U231" s="12" t="s">
        <v>127</v>
      </c>
      <c r="V231" s="12"/>
      <c r="W231" s="12"/>
      <c r="X231" s="12"/>
      <c r="Y231" s="12"/>
      <c r="Z231" s="12"/>
    </row>
    <row r="232" spans="1:26" x14ac:dyDescent="0.15">
      <c r="A232" s="5">
        <v>2006</v>
      </c>
      <c r="B232" s="5" t="s">
        <v>40</v>
      </c>
      <c r="C232" s="14">
        <v>529.65614727481704</v>
      </c>
      <c r="D232" s="14">
        <v>511.52390948570599</v>
      </c>
      <c r="E232" s="14">
        <v>499.27778379805699</v>
      </c>
      <c r="F232" s="15">
        <v>49.215745138405403</v>
      </c>
      <c r="G232" s="15" t="s">
        <v>12</v>
      </c>
      <c r="H232" s="15" t="s">
        <v>12</v>
      </c>
      <c r="I232" s="15" t="s">
        <v>12</v>
      </c>
      <c r="J232" s="15" t="s">
        <v>12</v>
      </c>
      <c r="K232" s="15" t="s">
        <v>12</v>
      </c>
      <c r="L232" s="15" t="s">
        <v>12</v>
      </c>
      <c r="M232" s="15" t="s">
        <v>12</v>
      </c>
      <c r="N232" s="15" t="s">
        <v>12</v>
      </c>
      <c r="O232" s="15">
        <v>11.919797229341199</v>
      </c>
      <c r="P232" s="10" t="s">
        <v>12</v>
      </c>
      <c r="Q232" s="15" t="s">
        <v>12</v>
      </c>
      <c r="R232" s="15" t="s">
        <v>12</v>
      </c>
      <c r="S232" s="15" t="s">
        <v>12</v>
      </c>
      <c r="T232" s="15">
        <v>33.9</v>
      </c>
      <c r="U232" s="15" t="s">
        <v>127</v>
      </c>
      <c r="V232" s="15"/>
      <c r="W232" s="15"/>
      <c r="X232" s="15"/>
      <c r="Y232" s="15"/>
      <c r="Z232" s="15"/>
    </row>
    <row r="233" spans="1:26" x14ac:dyDescent="0.15">
      <c r="A233" s="4">
        <v>2006</v>
      </c>
      <c r="B233" s="4" t="s">
        <v>41</v>
      </c>
      <c r="C233" s="11">
        <v>423.94119032310101</v>
      </c>
      <c r="D233" s="11">
        <v>423.83274522053301</v>
      </c>
      <c r="E233" s="11">
        <v>447.14113249126899</v>
      </c>
      <c r="F233" s="12">
        <v>39.575904584080497</v>
      </c>
      <c r="G233" s="12" t="s">
        <v>12</v>
      </c>
      <c r="H233" s="12" t="s">
        <v>12</v>
      </c>
      <c r="I233" s="12" t="s">
        <v>12</v>
      </c>
      <c r="J233" s="12" t="s">
        <v>12</v>
      </c>
      <c r="K233" s="12" t="s">
        <v>12</v>
      </c>
      <c r="L233" s="12" t="s">
        <v>12</v>
      </c>
      <c r="M233" s="12" t="s">
        <v>12</v>
      </c>
      <c r="N233" s="12" t="s">
        <v>12</v>
      </c>
      <c r="O233" s="12">
        <v>18.4991177904271</v>
      </c>
      <c r="P233" s="13" t="s">
        <v>12</v>
      </c>
      <c r="Q233" s="12" t="s">
        <v>12</v>
      </c>
      <c r="R233" s="12" t="s">
        <v>12</v>
      </c>
      <c r="S233" s="12" t="s">
        <v>12</v>
      </c>
      <c r="T233" s="12">
        <v>39.6</v>
      </c>
      <c r="U233" s="12" t="s">
        <v>132</v>
      </c>
      <c r="V233" s="12"/>
      <c r="W233" s="12"/>
      <c r="X233" s="12"/>
      <c r="Y233" s="12"/>
      <c r="Z233" s="12"/>
    </row>
    <row r="234" spans="1:26" x14ac:dyDescent="0.15">
      <c r="A234" s="5">
        <v>2006</v>
      </c>
      <c r="B234" s="5" t="s">
        <v>42</v>
      </c>
      <c r="C234" s="14">
        <v>495.44415847633798</v>
      </c>
      <c r="D234" s="14">
        <v>514.77354794106702</v>
      </c>
      <c r="E234" s="14">
        <v>495.08350955251501</v>
      </c>
      <c r="F234" s="15">
        <v>50.661280325909999</v>
      </c>
      <c r="G234" s="15" t="s">
        <v>12</v>
      </c>
      <c r="H234" s="15" t="s">
        <v>12</v>
      </c>
      <c r="I234" s="15" t="s">
        <v>12</v>
      </c>
      <c r="J234" s="15" t="s">
        <v>12</v>
      </c>
      <c r="K234" s="15" t="s">
        <v>12</v>
      </c>
      <c r="L234" s="15" t="s">
        <v>12</v>
      </c>
      <c r="M234" s="15" t="s">
        <v>12</v>
      </c>
      <c r="N234" s="15" t="s">
        <v>12</v>
      </c>
      <c r="O234" s="15">
        <v>15.269321914605101</v>
      </c>
      <c r="P234" s="10" t="s">
        <v>12</v>
      </c>
      <c r="Q234" s="15" t="s">
        <v>12</v>
      </c>
      <c r="R234" s="15" t="s">
        <v>12</v>
      </c>
      <c r="S234" s="15" t="s">
        <v>12</v>
      </c>
      <c r="T234" s="15">
        <v>35.9</v>
      </c>
      <c r="U234" s="15" t="s">
        <v>127</v>
      </c>
      <c r="V234" s="15"/>
      <c r="W234" s="15"/>
      <c r="X234" s="15"/>
      <c r="Y234" s="15"/>
      <c r="Z234" s="15"/>
    </row>
    <row r="235" spans="1:26" x14ac:dyDescent="0.15">
      <c r="A235" s="4">
        <v>2006</v>
      </c>
      <c r="B235" s="4" t="s">
        <v>43</v>
      </c>
      <c r="C235" s="11">
        <v>474.35215765383998</v>
      </c>
      <c r="D235" s="11">
        <v>488.906837319065</v>
      </c>
      <c r="E235" s="11" t="s">
        <v>12</v>
      </c>
      <c r="F235" s="12">
        <v>52.528218789258901</v>
      </c>
      <c r="G235" s="12" t="s">
        <v>12</v>
      </c>
      <c r="H235" s="12" t="s">
        <v>12</v>
      </c>
      <c r="I235" s="12" t="s">
        <v>12</v>
      </c>
      <c r="J235" s="12" t="s">
        <v>12</v>
      </c>
      <c r="K235" s="12" t="s">
        <v>12</v>
      </c>
      <c r="L235" s="12" t="s">
        <v>12</v>
      </c>
      <c r="M235" s="12" t="s">
        <v>12</v>
      </c>
      <c r="N235" s="12" t="s">
        <v>12</v>
      </c>
      <c r="O235" s="12">
        <v>15</v>
      </c>
      <c r="P235" s="13" t="s">
        <v>12</v>
      </c>
      <c r="Q235" s="12" t="s">
        <v>12</v>
      </c>
      <c r="R235" s="12" t="s">
        <v>12</v>
      </c>
      <c r="S235" s="12" t="s">
        <v>12</v>
      </c>
      <c r="T235" s="12">
        <v>41.7</v>
      </c>
      <c r="U235" s="12" t="s">
        <v>128</v>
      </c>
      <c r="V235" s="12"/>
      <c r="W235" s="12"/>
      <c r="X235" s="12"/>
      <c r="Y235" s="12"/>
      <c r="Z235" s="12"/>
    </row>
    <row r="236" spans="1:26" x14ac:dyDescent="0.15">
      <c r="A236" s="5">
        <v>2003</v>
      </c>
      <c r="B236" s="5" t="s">
        <v>4</v>
      </c>
      <c r="C236" s="14">
        <v>499.46352490047298</v>
      </c>
      <c r="D236" s="14" t="s">
        <v>12</v>
      </c>
      <c r="E236" s="14">
        <v>494.08596622219397</v>
      </c>
      <c r="F236" s="15">
        <v>48.833010680266</v>
      </c>
      <c r="G236" s="15" t="s">
        <v>12</v>
      </c>
      <c r="H236" s="15" t="s">
        <v>12</v>
      </c>
      <c r="I236" s="15" t="s">
        <v>12</v>
      </c>
      <c r="J236" s="15">
        <v>-0.21127346749822701</v>
      </c>
      <c r="K236" s="15" t="s">
        <v>12</v>
      </c>
      <c r="L236" s="15" t="s">
        <v>12</v>
      </c>
      <c r="M236" s="15" t="s">
        <v>12</v>
      </c>
      <c r="N236" s="15" t="s">
        <v>12</v>
      </c>
      <c r="O236" s="15">
        <v>13.4373040880192</v>
      </c>
      <c r="P236" s="10" t="s">
        <v>12</v>
      </c>
      <c r="Q236" s="15">
        <v>4.3295371907978303E-3</v>
      </c>
      <c r="R236" s="15" t="s">
        <v>12</v>
      </c>
      <c r="S236" s="15" t="s">
        <v>12</v>
      </c>
      <c r="T236" s="15" t="s">
        <v>125</v>
      </c>
      <c r="U236" s="15" t="s">
        <v>125</v>
      </c>
      <c r="V236" s="15"/>
      <c r="W236" s="15"/>
      <c r="X236" s="15"/>
      <c r="Y236" s="15"/>
      <c r="Z236" s="15"/>
    </row>
    <row r="237" spans="1:26" x14ac:dyDescent="0.15">
      <c r="A237" s="4">
        <v>2003</v>
      </c>
      <c r="B237" s="4" t="s">
        <v>5</v>
      </c>
      <c r="C237" s="11">
        <v>524.266004324964</v>
      </c>
      <c r="D237" s="11" t="s">
        <v>12</v>
      </c>
      <c r="E237" s="11">
        <v>525.42700679996597</v>
      </c>
      <c r="F237" s="12">
        <v>52.5896762491234</v>
      </c>
      <c r="G237" s="12" t="s">
        <v>12</v>
      </c>
      <c r="H237" s="12" t="s">
        <v>12</v>
      </c>
      <c r="I237" s="12" t="s">
        <v>12</v>
      </c>
      <c r="J237" s="12">
        <v>8.3013029147119902E-3</v>
      </c>
      <c r="K237" s="12" t="s">
        <v>12</v>
      </c>
      <c r="L237" s="12" t="s">
        <v>12</v>
      </c>
      <c r="M237" s="12" t="s">
        <v>12</v>
      </c>
      <c r="N237" s="12" t="s">
        <v>12</v>
      </c>
      <c r="O237" s="12">
        <v>13.5451179183731</v>
      </c>
      <c r="P237" s="13" t="s">
        <v>12</v>
      </c>
      <c r="Q237" s="12">
        <v>5.3623936723764899E-2</v>
      </c>
      <c r="R237" s="12" t="s">
        <v>12</v>
      </c>
      <c r="S237" s="12" t="s">
        <v>12</v>
      </c>
      <c r="T237" s="12">
        <v>33.5</v>
      </c>
      <c r="U237" s="12" t="s">
        <v>130</v>
      </c>
      <c r="V237" s="12"/>
      <c r="W237" s="12"/>
      <c r="X237" s="12"/>
      <c r="Y237" s="12"/>
      <c r="Z237" s="12"/>
    </row>
    <row r="238" spans="1:26" x14ac:dyDescent="0.15">
      <c r="A238" s="5">
        <v>2003</v>
      </c>
      <c r="B238" s="5" t="s">
        <v>6</v>
      </c>
      <c r="C238" s="14">
        <v>505.61098361977798</v>
      </c>
      <c r="D238" s="14" t="s">
        <v>12</v>
      </c>
      <c r="E238" s="14">
        <v>490.69324048785802</v>
      </c>
      <c r="F238" s="15">
        <v>47.064909978896203</v>
      </c>
      <c r="G238" s="15" t="s">
        <v>12</v>
      </c>
      <c r="H238" s="15" t="s">
        <v>12</v>
      </c>
      <c r="I238" s="15" t="s">
        <v>12</v>
      </c>
      <c r="J238" s="15">
        <v>-0.56823175331832398</v>
      </c>
      <c r="K238" s="15" t="s">
        <v>12</v>
      </c>
      <c r="L238" s="15" t="s">
        <v>12</v>
      </c>
      <c r="M238" s="15" t="s">
        <v>12</v>
      </c>
      <c r="N238" s="15" t="s">
        <v>12</v>
      </c>
      <c r="O238" s="15">
        <v>13.0351017674004</v>
      </c>
      <c r="P238" s="10" t="s">
        <v>12</v>
      </c>
      <c r="Q238" s="15">
        <v>0.438879564402261</v>
      </c>
      <c r="R238" s="15" t="s">
        <v>12</v>
      </c>
      <c r="S238" s="15" t="s">
        <v>12</v>
      </c>
      <c r="T238" s="15">
        <v>29.5</v>
      </c>
      <c r="U238" s="15" t="s">
        <v>127</v>
      </c>
      <c r="V238" s="15"/>
      <c r="W238" s="15"/>
      <c r="X238" s="15"/>
      <c r="Y238" s="15"/>
      <c r="Z238" s="15"/>
    </row>
    <row r="239" spans="1:26" x14ac:dyDescent="0.15">
      <c r="A239" s="4">
        <v>2003</v>
      </c>
      <c r="B239" s="4" t="s">
        <v>7</v>
      </c>
      <c r="C239" s="11">
        <v>529.28641462986297</v>
      </c>
      <c r="D239" s="11" t="s">
        <v>12</v>
      </c>
      <c r="E239" s="11">
        <v>506.98733242324499</v>
      </c>
      <c r="F239" s="12">
        <v>50.592867427687501</v>
      </c>
      <c r="G239" s="12" t="s">
        <v>12</v>
      </c>
      <c r="H239" s="12" t="s">
        <v>12</v>
      </c>
      <c r="I239" s="12" t="s">
        <v>12</v>
      </c>
      <c r="J239" s="12">
        <v>-0.31298557284231698</v>
      </c>
      <c r="K239" s="12" t="s">
        <v>12</v>
      </c>
      <c r="L239" s="12" t="s">
        <v>12</v>
      </c>
      <c r="M239" s="12" t="s">
        <v>12</v>
      </c>
      <c r="N239" s="12" t="s">
        <v>12</v>
      </c>
      <c r="O239" s="12">
        <v>9.4020741598708604</v>
      </c>
      <c r="P239" s="13" t="s">
        <v>12</v>
      </c>
      <c r="Q239" s="12">
        <v>-0.2661542005793</v>
      </c>
      <c r="R239" s="12" t="s">
        <v>12</v>
      </c>
      <c r="S239" s="12" t="s">
        <v>12</v>
      </c>
      <c r="T239" s="12">
        <v>28.1</v>
      </c>
      <c r="U239" s="12" t="s">
        <v>127</v>
      </c>
      <c r="V239" s="12"/>
      <c r="W239" s="12"/>
      <c r="X239" s="12"/>
      <c r="Y239" s="12"/>
      <c r="Z239" s="12"/>
    </row>
    <row r="240" spans="1:26" x14ac:dyDescent="0.15">
      <c r="A240" s="5">
        <v>2003</v>
      </c>
      <c r="B240" s="5" t="s">
        <v>8</v>
      </c>
      <c r="C240" s="14">
        <v>532.48673619702402</v>
      </c>
      <c r="D240" s="14" t="s">
        <v>12</v>
      </c>
      <c r="E240" s="14">
        <v>527.91361185490598</v>
      </c>
      <c r="F240" s="15">
        <v>52.578392367133503</v>
      </c>
      <c r="G240" s="15" t="s">
        <v>12</v>
      </c>
      <c r="H240" s="15" t="s">
        <v>12</v>
      </c>
      <c r="I240" s="15" t="s">
        <v>12</v>
      </c>
      <c r="J240" s="15">
        <v>2.6109680596948501E-2</v>
      </c>
      <c r="K240" s="15" t="s">
        <v>12</v>
      </c>
      <c r="L240" s="15" t="s">
        <v>12</v>
      </c>
      <c r="M240" s="15" t="s">
        <v>12</v>
      </c>
      <c r="N240" s="15" t="s">
        <v>12</v>
      </c>
      <c r="O240" s="15">
        <v>17.003206730601399</v>
      </c>
      <c r="P240" s="10" t="s">
        <v>12</v>
      </c>
      <c r="Q240" s="15">
        <v>3.0765531394714499E-2</v>
      </c>
      <c r="R240" s="15" t="s">
        <v>12</v>
      </c>
      <c r="S240" s="15" t="s">
        <v>12</v>
      </c>
      <c r="T240" s="15">
        <v>33.799999999999997</v>
      </c>
      <c r="U240" s="15" t="s">
        <v>128</v>
      </c>
      <c r="V240" s="15"/>
      <c r="W240" s="15"/>
      <c r="X240" s="15"/>
      <c r="Y240" s="15"/>
      <c r="Z240" s="15"/>
    </row>
    <row r="241" spans="1:26" x14ac:dyDescent="0.15">
      <c r="A241" s="4">
        <v>2003</v>
      </c>
      <c r="B241" s="4" t="s">
        <v>9</v>
      </c>
      <c r="C241" s="11" t="s">
        <v>12</v>
      </c>
      <c r="D241" s="11" t="s">
        <v>12</v>
      </c>
      <c r="E241" s="11" t="s">
        <v>12</v>
      </c>
      <c r="F241" s="12" t="s">
        <v>12</v>
      </c>
      <c r="G241" s="12" t="s">
        <v>12</v>
      </c>
      <c r="H241" s="12" t="s">
        <v>12</v>
      </c>
      <c r="I241" s="12" t="s">
        <v>12</v>
      </c>
      <c r="J241" s="12" t="s">
        <v>12</v>
      </c>
      <c r="K241" s="12" t="s">
        <v>12</v>
      </c>
      <c r="L241" s="12" t="s">
        <v>12</v>
      </c>
      <c r="M241" s="12" t="s">
        <v>12</v>
      </c>
      <c r="N241" s="12" t="s">
        <v>12</v>
      </c>
      <c r="O241" s="12" t="s">
        <v>12</v>
      </c>
      <c r="P241" s="13" t="s">
        <v>12</v>
      </c>
      <c r="Q241" s="12" t="s">
        <v>12</v>
      </c>
      <c r="R241" s="12" t="s">
        <v>12</v>
      </c>
      <c r="S241" s="12" t="s">
        <v>12</v>
      </c>
      <c r="T241" s="12">
        <v>51.5</v>
      </c>
      <c r="U241" s="12" t="s">
        <v>131</v>
      </c>
      <c r="V241" s="12"/>
      <c r="W241" s="12"/>
      <c r="X241" s="12"/>
      <c r="Y241" s="12"/>
      <c r="Z241" s="12"/>
    </row>
    <row r="242" spans="1:26" x14ac:dyDescent="0.15">
      <c r="A242" s="5">
        <v>2003</v>
      </c>
      <c r="B242" s="5" t="s">
        <v>10</v>
      </c>
      <c r="C242" s="14" t="s">
        <v>12</v>
      </c>
      <c r="D242" s="14" t="s">
        <v>12</v>
      </c>
      <c r="E242" s="14" t="s">
        <v>12</v>
      </c>
      <c r="F242" s="15" t="s">
        <v>12</v>
      </c>
      <c r="G242" s="15" t="s">
        <v>12</v>
      </c>
      <c r="H242" s="15" t="s">
        <v>12</v>
      </c>
      <c r="I242" s="15" t="s">
        <v>12</v>
      </c>
      <c r="J242" s="15" t="s">
        <v>12</v>
      </c>
      <c r="K242" s="15" t="s">
        <v>12</v>
      </c>
      <c r="L242" s="15" t="s">
        <v>12</v>
      </c>
      <c r="M242" s="15" t="s">
        <v>12</v>
      </c>
      <c r="N242" s="15" t="s">
        <v>12</v>
      </c>
      <c r="O242" s="15" t="s">
        <v>12</v>
      </c>
      <c r="P242" s="10" t="s">
        <v>12</v>
      </c>
      <c r="Q242" s="15" t="s">
        <v>12</v>
      </c>
      <c r="R242" s="15" t="s">
        <v>12</v>
      </c>
      <c r="S242" s="15" t="s">
        <v>12</v>
      </c>
      <c r="T242" s="15" t="s">
        <v>125</v>
      </c>
      <c r="U242" s="15" t="s">
        <v>131</v>
      </c>
      <c r="V242" s="15"/>
      <c r="W242" s="15"/>
      <c r="X242" s="15"/>
      <c r="Y242" s="15"/>
      <c r="Z242" s="15"/>
    </row>
    <row r="243" spans="1:26" x14ac:dyDescent="0.15">
      <c r="A243" s="4">
        <v>2003</v>
      </c>
      <c r="B243" s="4" t="s">
        <v>11</v>
      </c>
      <c r="C243" s="11" t="s">
        <v>12</v>
      </c>
      <c r="D243" s="11" t="s">
        <v>12</v>
      </c>
      <c r="E243" s="11" t="s">
        <v>12</v>
      </c>
      <c r="F243" s="12" t="s">
        <v>12</v>
      </c>
      <c r="G243" s="12" t="s">
        <v>12</v>
      </c>
      <c r="H243" s="12" t="s">
        <v>12</v>
      </c>
      <c r="I243" s="12" t="s">
        <v>12</v>
      </c>
      <c r="J243" s="12" t="s">
        <v>12</v>
      </c>
      <c r="K243" s="12" t="s">
        <v>12</v>
      </c>
      <c r="L243" s="12" t="s">
        <v>12</v>
      </c>
      <c r="M243" s="12" t="s">
        <v>12</v>
      </c>
      <c r="N243" s="12" t="s">
        <v>12</v>
      </c>
      <c r="O243" s="12" t="s">
        <v>12</v>
      </c>
      <c r="P243" s="13" t="s">
        <v>12</v>
      </c>
      <c r="Q243" s="12" t="s">
        <v>12</v>
      </c>
      <c r="R243" s="12" t="s">
        <v>12</v>
      </c>
      <c r="S243" s="12" t="s">
        <v>12</v>
      </c>
      <c r="T243" s="12" t="s">
        <v>125</v>
      </c>
      <c r="U243" s="12" t="s">
        <v>128</v>
      </c>
      <c r="V243" s="12"/>
      <c r="W243" s="12"/>
      <c r="X243" s="12"/>
      <c r="Y243" s="12"/>
      <c r="Z243" s="12"/>
    </row>
    <row r="244" spans="1:26" x14ac:dyDescent="0.15">
      <c r="A244" s="5">
        <v>2003</v>
      </c>
      <c r="B244" s="5" t="s">
        <v>13</v>
      </c>
      <c r="C244" s="14">
        <v>516.45500074502797</v>
      </c>
      <c r="D244" s="14" t="s">
        <v>12</v>
      </c>
      <c r="E244" s="14">
        <v>488.542284443754</v>
      </c>
      <c r="F244" s="15">
        <v>50.050773640367503</v>
      </c>
      <c r="G244" s="15" t="s">
        <v>12</v>
      </c>
      <c r="H244" s="15" t="s">
        <v>12</v>
      </c>
      <c r="I244" s="15" t="s">
        <v>12</v>
      </c>
      <c r="J244" s="15">
        <v>-0.35242349585445298</v>
      </c>
      <c r="K244" s="15" t="s">
        <v>12</v>
      </c>
      <c r="L244" s="15" t="s">
        <v>12</v>
      </c>
      <c r="M244" s="15" t="s">
        <v>12</v>
      </c>
      <c r="N244" s="15" t="s">
        <v>12</v>
      </c>
      <c r="O244" s="15">
        <v>15.152479914656499</v>
      </c>
      <c r="P244" s="10" t="s">
        <v>12</v>
      </c>
      <c r="Q244" s="15">
        <v>-0.256131734122447</v>
      </c>
      <c r="R244" s="15" t="s">
        <v>12</v>
      </c>
      <c r="S244" s="15" t="s">
        <v>12</v>
      </c>
      <c r="T244" s="15">
        <v>0</v>
      </c>
      <c r="U244" s="15" t="s">
        <v>127</v>
      </c>
      <c r="V244" s="15"/>
      <c r="W244" s="15"/>
      <c r="X244" s="15"/>
      <c r="Y244" s="15"/>
      <c r="Z244" s="15"/>
    </row>
    <row r="245" spans="1:26" x14ac:dyDescent="0.15">
      <c r="A245" s="4">
        <v>2003</v>
      </c>
      <c r="B245" s="4" t="s">
        <v>14</v>
      </c>
      <c r="C245" s="11">
        <v>514.28767510856903</v>
      </c>
      <c r="D245" s="11" t="s">
        <v>12</v>
      </c>
      <c r="E245" s="11">
        <v>492.32337953296701</v>
      </c>
      <c r="F245" s="12">
        <v>49.262173463832099</v>
      </c>
      <c r="G245" s="12" t="s">
        <v>12</v>
      </c>
      <c r="H245" s="12" t="s">
        <v>12</v>
      </c>
      <c r="I245" s="12" t="s">
        <v>12</v>
      </c>
      <c r="J245" s="12">
        <v>-8.3855949220954198E-2</v>
      </c>
      <c r="K245" s="12" t="s">
        <v>12</v>
      </c>
      <c r="L245" s="12" t="s">
        <v>12</v>
      </c>
      <c r="M245" s="12" t="s">
        <v>12</v>
      </c>
      <c r="N245" s="12" t="s">
        <v>12</v>
      </c>
      <c r="O245" s="12">
        <v>11.2840323918763</v>
      </c>
      <c r="P245" s="13" t="s">
        <v>12</v>
      </c>
      <c r="Q245" s="12">
        <v>2.16373144151507E-2</v>
      </c>
      <c r="R245" s="12" t="s">
        <v>12</v>
      </c>
      <c r="S245" s="12" t="s">
        <v>12</v>
      </c>
      <c r="T245" s="12">
        <v>25.6</v>
      </c>
      <c r="U245" s="12" t="s">
        <v>127</v>
      </c>
      <c r="V245" s="12"/>
      <c r="W245" s="12"/>
      <c r="X245" s="12"/>
      <c r="Y245" s="12"/>
      <c r="Z245" s="12"/>
    </row>
    <row r="246" spans="1:26" x14ac:dyDescent="0.15">
      <c r="A246" s="5">
        <v>2003</v>
      </c>
      <c r="B246" s="5" t="s">
        <v>15</v>
      </c>
      <c r="C246" s="14" t="s">
        <v>12</v>
      </c>
      <c r="D246" s="14" t="s">
        <v>12</v>
      </c>
      <c r="E246" s="14" t="s">
        <v>12</v>
      </c>
      <c r="F246" s="15" t="s">
        <v>12</v>
      </c>
      <c r="G246" s="15" t="s">
        <v>12</v>
      </c>
      <c r="H246" s="15" t="s">
        <v>12</v>
      </c>
      <c r="I246" s="15" t="s">
        <v>12</v>
      </c>
      <c r="J246" s="15" t="s">
        <v>12</v>
      </c>
      <c r="K246" s="15" t="s">
        <v>12</v>
      </c>
      <c r="L246" s="15" t="s">
        <v>12</v>
      </c>
      <c r="M246" s="15" t="s">
        <v>12</v>
      </c>
      <c r="N246" s="15" t="s">
        <v>12</v>
      </c>
      <c r="O246" s="15" t="s">
        <v>12</v>
      </c>
      <c r="P246" s="10" t="s">
        <v>12</v>
      </c>
      <c r="Q246" s="15" t="s">
        <v>12</v>
      </c>
      <c r="R246" s="15" t="s">
        <v>12</v>
      </c>
      <c r="S246" s="15" t="s">
        <v>12</v>
      </c>
      <c r="T246" s="15">
        <v>37.200000000000003</v>
      </c>
      <c r="U246" s="15" t="s">
        <v>127</v>
      </c>
      <c r="V246" s="15"/>
      <c r="W246" s="15"/>
      <c r="X246" s="15"/>
      <c r="Y246" s="15"/>
      <c r="Z246" s="15"/>
    </row>
    <row r="247" spans="1:26" x14ac:dyDescent="0.15">
      <c r="A247" s="4">
        <v>2003</v>
      </c>
      <c r="B247" s="4" t="s">
        <v>16</v>
      </c>
      <c r="C247" s="11">
        <v>544.28918700619795</v>
      </c>
      <c r="D247" s="11" t="s">
        <v>12</v>
      </c>
      <c r="E247" s="11">
        <v>543.46254335307697</v>
      </c>
      <c r="F247" s="12">
        <v>50.226454058197596</v>
      </c>
      <c r="G247" s="12" t="s">
        <v>12</v>
      </c>
      <c r="H247" s="12" t="s">
        <v>12</v>
      </c>
      <c r="I247" s="12" t="s">
        <v>12</v>
      </c>
      <c r="J247" s="12">
        <v>-0.14555011899661799</v>
      </c>
      <c r="K247" s="12" t="s">
        <v>12</v>
      </c>
      <c r="L247" s="12" t="s">
        <v>12</v>
      </c>
      <c r="M247" s="12" t="s">
        <v>12</v>
      </c>
      <c r="N247" s="12" t="s">
        <v>12</v>
      </c>
      <c r="O247" s="12">
        <v>10.752593997060201</v>
      </c>
      <c r="P247" s="13" t="s">
        <v>12</v>
      </c>
      <c r="Q247" s="12">
        <v>-6.7614068552966401E-3</v>
      </c>
      <c r="R247" s="12" t="s">
        <v>12</v>
      </c>
      <c r="S247" s="12" t="s">
        <v>12</v>
      </c>
      <c r="T247" s="12">
        <v>27.7</v>
      </c>
      <c r="U247" s="12" t="s">
        <v>127</v>
      </c>
      <c r="V247" s="12"/>
      <c r="W247" s="12"/>
      <c r="X247" s="12"/>
      <c r="Y247" s="12"/>
      <c r="Z247" s="12"/>
    </row>
    <row r="248" spans="1:26" x14ac:dyDescent="0.15">
      <c r="A248" s="5">
        <v>2003</v>
      </c>
      <c r="B248" s="5" t="s">
        <v>17</v>
      </c>
      <c r="C248" s="14">
        <v>510.79947348592702</v>
      </c>
      <c r="D248" s="14" t="s">
        <v>12</v>
      </c>
      <c r="E248" s="14">
        <v>496.18878489734499</v>
      </c>
      <c r="F248" s="15">
        <v>48.659709545128003</v>
      </c>
      <c r="G248" s="15" t="s">
        <v>12</v>
      </c>
      <c r="H248" s="15" t="s">
        <v>12</v>
      </c>
      <c r="I248" s="15" t="s">
        <v>12</v>
      </c>
      <c r="J248" s="15">
        <v>-0.366952055075008</v>
      </c>
      <c r="K248" s="15" t="s">
        <v>12</v>
      </c>
      <c r="L248" s="15" t="s">
        <v>12</v>
      </c>
      <c r="M248" s="15" t="s">
        <v>12</v>
      </c>
      <c r="N248" s="15" t="s">
        <v>12</v>
      </c>
      <c r="O248" s="15" t="s">
        <v>12</v>
      </c>
      <c r="P248" s="10" t="s">
        <v>12</v>
      </c>
      <c r="Q248" s="15">
        <v>-0.166276148187772</v>
      </c>
      <c r="R248" s="15" t="s">
        <v>12</v>
      </c>
      <c r="S248" s="15" t="s">
        <v>12</v>
      </c>
      <c r="T248" s="15">
        <v>31.4</v>
      </c>
      <c r="U248" s="15" t="s">
        <v>127</v>
      </c>
      <c r="V248" s="15"/>
      <c r="W248" s="15"/>
      <c r="X248" s="15"/>
      <c r="Y248" s="15"/>
      <c r="Z248" s="15"/>
    </row>
    <row r="249" spans="1:26" x14ac:dyDescent="0.15">
      <c r="A249" s="4">
        <v>2003</v>
      </c>
      <c r="B249" s="4" t="s">
        <v>18</v>
      </c>
      <c r="C249" s="11">
        <v>502.985532699418</v>
      </c>
      <c r="D249" s="11" t="s">
        <v>12</v>
      </c>
      <c r="E249" s="11">
        <v>491.35799855495998</v>
      </c>
      <c r="F249" s="12">
        <v>49.326426331805301</v>
      </c>
      <c r="G249" s="12" t="s">
        <v>12</v>
      </c>
      <c r="H249" s="12" t="s">
        <v>12</v>
      </c>
      <c r="I249" s="12" t="s">
        <v>12</v>
      </c>
      <c r="J249" s="12">
        <v>-0.47229847953903997</v>
      </c>
      <c r="K249" s="12" t="s">
        <v>12</v>
      </c>
      <c r="L249" s="12" t="s">
        <v>12</v>
      </c>
      <c r="M249" s="12" t="s">
        <v>12</v>
      </c>
      <c r="N249" s="12" t="s">
        <v>12</v>
      </c>
      <c r="O249" s="12">
        <v>17.618387783179699</v>
      </c>
      <c r="P249" s="13" t="s">
        <v>12</v>
      </c>
      <c r="Q249" s="12">
        <v>0.24306966249300399</v>
      </c>
      <c r="R249" s="12" t="s">
        <v>12</v>
      </c>
      <c r="S249" s="12" t="s">
        <v>12</v>
      </c>
      <c r="T249" s="12">
        <v>29.8</v>
      </c>
      <c r="U249" s="12" t="s">
        <v>127</v>
      </c>
      <c r="V249" s="12"/>
      <c r="W249" s="12"/>
      <c r="X249" s="12"/>
      <c r="Y249" s="12"/>
      <c r="Z249" s="12"/>
    </row>
    <row r="250" spans="1:26" x14ac:dyDescent="0.15">
      <c r="A250" s="5">
        <v>2003</v>
      </c>
      <c r="B250" s="5" t="s">
        <v>19</v>
      </c>
      <c r="C250" s="14">
        <v>444.91186270493699</v>
      </c>
      <c r="D250" s="14" t="s">
        <v>12</v>
      </c>
      <c r="E250" s="14">
        <v>472.26687672760897</v>
      </c>
      <c r="F250" s="15">
        <v>46.935241388566297</v>
      </c>
      <c r="G250" s="15" t="s">
        <v>12</v>
      </c>
      <c r="H250" s="15" t="s">
        <v>12</v>
      </c>
      <c r="I250" s="15" t="s">
        <v>12</v>
      </c>
      <c r="J250" s="15">
        <v>-0.26328151149183898</v>
      </c>
      <c r="K250" s="15" t="s">
        <v>12</v>
      </c>
      <c r="L250" s="15" t="s">
        <v>12</v>
      </c>
      <c r="M250" s="15" t="s">
        <v>12</v>
      </c>
      <c r="N250" s="15" t="s">
        <v>12</v>
      </c>
      <c r="O250" s="15">
        <v>9.6885414234519995</v>
      </c>
      <c r="P250" s="10" t="s">
        <v>12</v>
      </c>
      <c r="Q250" s="15">
        <v>4.6945390037784598E-2</v>
      </c>
      <c r="R250" s="15" t="s">
        <v>12</v>
      </c>
      <c r="S250" s="15" t="s">
        <v>12</v>
      </c>
      <c r="T250" s="15">
        <v>32.799999999999997</v>
      </c>
      <c r="U250" s="15" t="s">
        <v>127</v>
      </c>
      <c r="V250" s="15"/>
      <c r="W250" s="15"/>
      <c r="X250" s="15"/>
      <c r="Y250" s="15"/>
      <c r="Z250" s="15"/>
    </row>
    <row r="251" spans="1:26" x14ac:dyDescent="0.15">
      <c r="A251" s="4">
        <v>2003</v>
      </c>
      <c r="B251" s="4" t="s">
        <v>20</v>
      </c>
      <c r="C251" s="11">
        <v>490.012392234689</v>
      </c>
      <c r="D251" s="11" t="s">
        <v>12</v>
      </c>
      <c r="E251" s="11">
        <v>481.86969454430198</v>
      </c>
      <c r="F251" s="12">
        <v>48.580184610879101</v>
      </c>
      <c r="G251" s="12" t="s">
        <v>12</v>
      </c>
      <c r="H251" s="12" t="s">
        <v>12</v>
      </c>
      <c r="I251" s="12" t="s">
        <v>12</v>
      </c>
      <c r="J251" s="12">
        <v>-0.28691725784205002</v>
      </c>
      <c r="K251" s="12" t="s">
        <v>12</v>
      </c>
      <c r="L251" s="12" t="s">
        <v>12</v>
      </c>
      <c r="M251" s="12" t="s">
        <v>12</v>
      </c>
      <c r="N251" s="12" t="s">
        <v>12</v>
      </c>
      <c r="O251" s="12">
        <v>10.264363652596501</v>
      </c>
      <c r="P251" s="13" t="s">
        <v>12</v>
      </c>
      <c r="Q251" s="12">
        <v>8.81689904602109E-2</v>
      </c>
      <c r="R251" s="12" t="s">
        <v>12</v>
      </c>
      <c r="S251" s="12" t="s">
        <v>12</v>
      </c>
      <c r="T251" s="12">
        <v>30.9</v>
      </c>
      <c r="U251" s="12" t="s">
        <v>127</v>
      </c>
      <c r="V251" s="12"/>
      <c r="W251" s="12"/>
      <c r="X251" s="12"/>
      <c r="Y251" s="12"/>
      <c r="Z251" s="12"/>
    </row>
    <row r="252" spans="1:26" x14ac:dyDescent="0.15">
      <c r="A252" s="5">
        <v>2003</v>
      </c>
      <c r="B252" s="5" t="s">
        <v>21</v>
      </c>
      <c r="C252" s="14">
        <v>515.10865028655405</v>
      </c>
      <c r="D252" s="14" t="s">
        <v>12</v>
      </c>
      <c r="E252" s="14">
        <v>491.74696036974001</v>
      </c>
      <c r="F252" s="15">
        <v>53.724320137988698</v>
      </c>
      <c r="G252" s="15" t="s">
        <v>12</v>
      </c>
      <c r="H252" s="15" t="s">
        <v>12</v>
      </c>
      <c r="I252" s="15" t="s">
        <v>12</v>
      </c>
      <c r="J252" s="15">
        <v>-3.6099372821893599E-2</v>
      </c>
      <c r="K252" s="15" t="s">
        <v>12</v>
      </c>
      <c r="L252" s="15" t="s">
        <v>12</v>
      </c>
      <c r="M252" s="15" t="s">
        <v>12</v>
      </c>
      <c r="N252" s="15" t="s">
        <v>12</v>
      </c>
      <c r="O252" s="15">
        <v>11.369861600483301</v>
      </c>
      <c r="P252" s="10" t="s">
        <v>12</v>
      </c>
      <c r="Q252" s="15">
        <v>0.169308503579786</v>
      </c>
      <c r="R252" s="15" t="s">
        <v>12</v>
      </c>
      <c r="S252" s="15" t="s">
        <v>12</v>
      </c>
      <c r="T252" s="15">
        <v>26.8</v>
      </c>
      <c r="U252" s="15" t="s">
        <v>127</v>
      </c>
      <c r="V252" s="15"/>
      <c r="W252" s="15"/>
      <c r="X252" s="15"/>
      <c r="Y252" s="15"/>
      <c r="Z252" s="15"/>
    </row>
    <row r="253" spans="1:26" x14ac:dyDescent="0.15">
      <c r="A253" s="4">
        <v>2003</v>
      </c>
      <c r="B253" s="4" t="s">
        <v>22</v>
      </c>
      <c r="C253" s="11">
        <v>502.837319707831</v>
      </c>
      <c r="D253" s="11" t="s">
        <v>12</v>
      </c>
      <c r="E253" s="11">
        <v>515.48007697650905</v>
      </c>
      <c r="F253" s="12">
        <v>48.338116231728698</v>
      </c>
      <c r="G253" s="12" t="s">
        <v>12</v>
      </c>
      <c r="H253" s="12" t="s">
        <v>12</v>
      </c>
      <c r="I253" s="12" t="s">
        <v>12</v>
      </c>
      <c r="J253" s="12">
        <v>-0.215666099168692</v>
      </c>
      <c r="K253" s="12" t="s">
        <v>12</v>
      </c>
      <c r="L253" s="12" t="s">
        <v>12</v>
      </c>
      <c r="M253" s="12" t="s">
        <v>12</v>
      </c>
      <c r="N253" s="12" t="s">
        <v>12</v>
      </c>
      <c r="O253" s="12">
        <v>14</v>
      </c>
      <c r="P253" s="13" t="s">
        <v>12</v>
      </c>
      <c r="Q253" s="12">
        <v>8.7539892853140899E-2</v>
      </c>
      <c r="R253" s="12" t="s">
        <v>12</v>
      </c>
      <c r="S253" s="12" t="s">
        <v>12</v>
      </c>
      <c r="T253" s="12">
        <v>32.9</v>
      </c>
      <c r="U253" s="12" t="s">
        <v>127</v>
      </c>
      <c r="V253" s="12"/>
      <c r="W253" s="12"/>
      <c r="X253" s="12"/>
      <c r="Y253" s="12"/>
      <c r="Z253" s="12"/>
    </row>
    <row r="254" spans="1:26" x14ac:dyDescent="0.15">
      <c r="A254" s="5">
        <v>2003</v>
      </c>
      <c r="B254" s="5" t="s">
        <v>23</v>
      </c>
      <c r="C254" s="14" t="s">
        <v>12</v>
      </c>
      <c r="D254" s="14" t="s">
        <v>12</v>
      </c>
      <c r="E254" s="14" t="s">
        <v>12</v>
      </c>
      <c r="F254" s="15" t="s">
        <v>12</v>
      </c>
      <c r="G254" s="15" t="s">
        <v>12</v>
      </c>
      <c r="H254" s="15" t="s">
        <v>12</v>
      </c>
      <c r="I254" s="15" t="s">
        <v>12</v>
      </c>
      <c r="J254" s="15" t="s">
        <v>12</v>
      </c>
      <c r="K254" s="15" t="s">
        <v>12</v>
      </c>
      <c r="L254" s="15" t="s">
        <v>12</v>
      </c>
      <c r="M254" s="15" t="s">
        <v>12</v>
      </c>
      <c r="N254" s="15" t="s">
        <v>12</v>
      </c>
      <c r="O254" s="15" t="s">
        <v>12</v>
      </c>
      <c r="P254" s="10" t="s">
        <v>12</v>
      </c>
      <c r="Q254" s="15" t="s">
        <v>12</v>
      </c>
      <c r="R254" s="15" t="s">
        <v>12</v>
      </c>
      <c r="S254" s="15" t="s">
        <v>12</v>
      </c>
      <c r="T254" s="15">
        <v>40.700000000000003</v>
      </c>
      <c r="U254" s="15" t="s">
        <v>132</v>
      </c>
      <c r="V254" s="15"/>
      <c r="W254" s="15"/>
      <c r="X254" s="15"/>
      <c r="Y254" s="15"/>
      <c r="Z254" s="15"/>
    </row>
    <row r="255" spans="1:26" x14ac:dyDescent="0.15">
      <c r="A255" s="4">
        <v>2003</v>
      </c>
      <c r="B255" s="4" t="s">
        <v>24</v>
      </c>
      <c r="C255" s="11">
        <v>465.66421007197999</v>
      </c>
      <c r="D255" s="11" t="s">
        <v>12</v>
      </c>
      <c r="E255" s="11">
        <v>475.66158080912999</v>
      </c>
      <c r="F255" s="12">
        <v>46.834203660301299</v>
      </c>
      <c r="G255" s="12" t="s">
        <v>12</v>
      </c>
      <c r="H255" s="12" t="s">
        <v>12</v>
      </c>
      <c r="I255" s="12" t="s">
        <v>12</v>
      </c>
      <c r="J255" s="12">
        <v>-0.32068394273568801</v>
      </c>
      <c r="K255" s="12" t="s">
        <v>12</v>
      </c>
      <c r="L255" s="12" t="s">
        <v>12</v>
      </c>
      <c r="M255" s="12" t="s">
        <v>12</v>
      </c>
      <c r="N255" s="12" t="s">
        <v>12</v>
      </c>
      <c r="O255" s="12">
        <v>10.0419784484818</v>
      </c>
      <c r="P255" s="13" t="s">
        <v>12</v>
      </c>
      <c r="Q255" s="12">
        <v>5.9396903953744203E-2</v>
      </c>
      <c r="R255" s="12" t="s">
        <v>12</v>
      </c>
      <c r="S255" s="12" t="s">
        <v>12</v>
      </c>
      <c r="T255" s="12">
        <v>34.9</v>
      </c>
      <c r="U255" s="12" t="s">
        <v>127</v>
      </c>
      <c r="V255" s="12"/>
      <c r="W255" s="12"/>
      <c r="X255" s="12"/>
      <c r="Y255" s="12"/>
      <c r="Z255" s="12"/>
    </row>
    <row r="256" spans="1:26" x14ac:dyDescent="0.15">
      <c r="A256" s="5">
        <v>2003</v>
      </c>
      <c r="B256" s="5" t="s">
        <v>25</v>
      </c>
      <c r="C256" s="14">
        <v>534.13650163647196</v>
      </c>
      <c r="D256" s="14" t="s">
        <v>12</v>
      </c>
      <c r="E256" s="14">
        <v>498.10520624030198</v>
      </c>
      <c r="F256" s="15">
        <v>49.978127933634198</v>
      </c>
      <c r="G256" s="15" t="s">
        <v>12</v>
      </c>
      <c r="H256" s="15" t="s">
        <v>12</v>
      </c>
      <c r="I256" s="15" t="s">
        <v>12</v>
      </c>
      <c r="J256" s="15">
        <v>-0.51184206765719298</v>
      </c>
      <c r="K256" s="15" t="s">
        <v>12</v>
      </c>
      <c r="L256" s="15" t="s">
        <v>12</v>
      </c>
      <c r="M256" s="15" t="s">
        <v>12</v>
      </c>
      <c r="N256" s="15" t="s">
        <v>12</v>
      </c>
      <c r="O256" s="15">
        <v>14.001718244550499</v>
      </c>
      <c r="P256" s="10" t="s">
        <v>12</v>
      </c>
      <c r="Q256" s="15">
        <v>-0.50080074388252405</v>
      </c>
      <c r="R256" s="15" t="s">
        <v>12</v>
      </c>
      <c r="S256" s="15" t="s">
        <v>12</v>
      </c>
      <c r="T256" s="15">
        <v>0</v>
      </c>
      <c r="U256" s="15" t="s">
        <v>129</v>
      </c>
      <c r="V256" s="15"/>
      <c r="W256" s="15"/>
      <c r="X256" s="15"/>
      <c r="Y256" s="15"/>
      <c r="Z256" s="15"/>
    </row>
    <row r="257" spans="1:26" x14ac:dyDescent="0.15">
      <c r="A257" s="4">
        <v>2003</v>
      </c>
      <c r="B257" s="4" t="s">
        <v>26</v>
      </c>
      <c r="C257" s="11">
        <v>542.22736964341595</v>
      </c>
      <c r="D257" s="11" t="s">
        <v>12</v>
      </c>
      <c r="E257" s="11">
        <v>534.09126470026104</v>
      </c>
      <c r="F257" s="12">
        <v>46.3196403819301</v>
      </c>
      <c r="G257" s="12" t="s">
        <v>12</v>
      </c>
      <c r="H257" s="12" t="s">
        <v>12</v>
      </c>
      <c r="I257" s="12" t="s">
        <v>12</v>
      </c>
      <c r="J257" s="12">
        <v>-0.40591922998750402</v>
      </c>
      <c r="K257" s="12" t="s">
        <v>12</v>
      </c>
      <c r="L257" s="12" t="s">
        <v>12</v>
      </c>
      <c r="M257" s="12" t="s">
        <v>12</v>
      </c>
      <c r="N257" s="12" t="s">
        <v>12</v>
      </c>
      <c r="O257" s="12">
        <v>16.357004406654401</v>
      </c>
      <c r="P257" s="13" t="s">
        <v>12</v>
      </c>
      <c r="Q257" s="12">
        <v>-0.36765717641737</v>
      </c>
      <c r="R257" s="12" t="s">
        <v>12</v>
      </c>
      <c r="S257" s="12" t="s">
        <v>12</v>
      </c>
      <c r="T257" s="12" t="s">
        <v>125</v>
      </c>
      <c r="U257" s="12" t="s">
        <v>129</v>
      </c>
      <c r="V257" s="12"/>
      <c r="W257" s="12"/>
      <c r="X257" s="12"/>
      <c r="Y257" s="12"/>
      <c r="Z257" s="12"/>
    </row>
    <row r="258" spans="1:26" x14ac:dyDescent="0.15">
      <c r="A258" s="5">
        <v>2003</v>
      </c>
      <c r="B258" s="5" t="s">
        <v>27</v>
      </c>
      <c r="C258" s="14">
        <v>483.37494883084901</v>
      </c>
      <c r="D258" s="14" t="s">
        <v>12</v>
      </c>
      <c r="E258" s="14">
        <v>490.56253386056801</v>
      </c>
      <c r="F258" s="15">
        <v>50.281780629113797</v>
      </c>
      <c r="G258" s="15" t="s">
        <v>12</v>
      </c>
      <c r="H258" s="15" t="s">
        <v>12</v>
      </c>
      <c r="I258" s="15" t="s">
        <v>12</v>
      </c>
      <c r="J258" s="15">
        <v>-0.16300483846689401</v>
      </c>
      <c r="K258" s="15" t="s">
        <v>12</v>
      </c>
      <c r="L258" s="15" t="s">
        <v>12</v>
      </c>
      <c r="M258" s="15" t="s">
        <v>12</v>
      </c>
      <c r="N258" s="15" t="s">
        <v>12</v>
      </c>
      <c r="O258" s="15">
        <v>12.712205640853</v>
      </c>
      <c r="P258" s="10" t="s">
        <v>12</v>
      </c>
      <c r="Q258" s="15">
        <v>-0.19627441084357</v>
      </c>
      <c r="R258" s="15" t="s">
        <v>12</v>
      </c>
      <c r="S258" s="15" t="s">
        <v>12</v>
      </c>
      <c r="T258" s="15">
        <v>36.5</v>
      </c>
      <c r="U258" s="15" t="s">
        <v>127</v>
      </c>
      <c r="V258" s="15"/>
      <c r="W258" s="15"/>
      <c r="X258" s="15"/>
      <c r="Y258" s="15"/>
      <c r="Z258" s="15"/>
    </row>
    <row r="259" spans="1:26" x14ac:dyDescent="0.15">
      <c r="A259" s="4">
        <v>2003</v>
      </c>
      <c r="B259" s="4" t="s">
        <v>28</v>
      </c>
      <c r="C259" s="11" t="s">
        <v>12</v>
      </c>
      <c r="D259" s="11" t="s">
        <v>12</v>
      </c>
      <c r="E259" s="11" t="s">
        <v>12</v>
      </c>
      <c r="F259" s="12" t="s">
        <v>12</v>
      </c>
      <c r="G259" s="12" t="s">
        <v>12</v>
      </c>
      <c r="H259" s="12" t="s">
        <v>12</v>
      </c>
      <c r="I259" s="12" t="s">
        <v>12</v>
      </c>
      <c r="J259" s="12" t="s">
        <v>12</v>
      </c>
      <c r="K259" s="12" t="s">
        <v>12</v>
      </c>
      <c r="L259" s="12" t="s">
        <v>12</v>
      </c>
      <c r="M259" s="12" t="s">
        <v>12</v>
      </c>
      <c r="N259" s="12" t="s">
        <v>12</v>
      </c>
      <c r="O259" s="12" t="s">
        <v>12</v>
      </c>
      <c r="P259" s="13" t="s">
        <v>12</v>
      </c>
      <c r="Q259" s="12" t="s">
        <v>12</v>
      </c>
      <c r="R259" s="12" t="s">
        <v>12</v>
      </c>
      <c r="S259" s="12" t="s">
        <v>12</v>
      </c>
      <c r="T259" s="12">
        <v>35.5</v>
      </c>
      <c r="U259" s="12" t="s">
        <v>127</v>
      </c>
      <c r="V259" s="12"/>
      <c r="W259" s="12"/>
      <c r="X259" s="12"/>
      <c r="Y259" s="12"/>
      <c r="Z259" s="12"/>
    </row>
    <row r="260" spans="1:26" x14ac:dyDescent="0.15">
      <c r="A260" s="5">
        <v>2003</v>
      </c>
      <c r="B260" s="5" t="s">
        <v>29</v>
      </c>
      <c r="C260" s="14">
        <v>493.20855658869402</v>
      </c>
      <c r="D260" s="14" t="s">
        <v>12</v>
      </c>
      <c r="E260" s="14">
        <v>479.42258352955702</v>
      </c>
      <c r="F260" s="15">
        <v>48.168665705724401</v>
      </c>
      <c r="G260" s="15" t="s">
        <v>12</v>
      </c>
      <c r="H260" s="15" t="s">
        <v>12</v>
      </c>
      <c r="I260" s="15" t="s">
        <v>12</v>
      </c>
      <c r="J260" s="15">
        <v>-0.48354677207368202</v>
      </c>
      <c r="K260" s="15" t="s">
        <v>12</v>
      </c>
      <c r="L260" s="15" t="s">
        <v>12</v>
      </c>
      <c r="M260" s="15" t="s">
        <v>12</v>
      </c>
      <c r="N260" s="15" t="s">
        <v>12</v>
      </c>
      <c r="O260" s="15">
        <v>10.252310934824999</v>
      </c>
      <c r="P260" s="10" t="s">
        <v>12</v>
      </c>
      <c r="Q260" s="15">
        <v>0.232900045353235</v>
      </c>
      <c r="R260" s="15" t="s">
        <v>12</v>
      </c>
      <c r="S260" s="15" t="s">
        <v>12</v>
      </c>
      <c r="T260" s="15">
        <v>30.2</v>
      </c>
      <c r="U260" s="15" t="s">
        <v>127</v>
      </c>
      <c r="V260" s="15"/>
      <c r="W260" s="15"/>
      <c r="X260" s="15"/>
      <c r="Y260" s="15"/>
      <c r="Z260" s="15"/>
    </row>
    <row r="261" spans="1:26" x14ac:dyDescent="0.15">
      <c r="A261" s="4">
        <v>2003</v>
      </c>
      <c r="B261" s="4" t="s">
        <v>30</v>
      </c>
      <c r="C261" s="11">
        <v>385.21833934422301</v>
      </c>
      <c r="D261" s="11" t="s">
        <v>12</v>
      </c>
      <c r="E261" s="11">
        <v>399.72192751583702</v>
      </c>
      <c r="F261" s="12">
        <v>40.117212631912302</v>
      </c>
      <c r="G261" s="12" t="s">
        <v>12</v>
      </c>
      <c r="H261" s="12" t="s">
        <v>12</v>
      </c>
      <c r="I261" s="12" t="s">
        <v>12</v>
      </c>
      <c r="J261" s="12">
        <v>0.22019423503049801</v>
      </c>
      <c r="K261" s="12" t="s">
        <v>12</v>
      </c>
      <c r="L261" s="12" t="s">
        <v>12</v>
      </c>
      <c r="M261" s="12" t="s">
        <v>12</v>
      </c>
      <c r="N261" s="12" t="s">
        <v>12</v>
      </c>
      <c r="O261" s="12" t="s">
        <v>12</v>
      </c>
      <c r="P261" s="13" t="s">
        <v>12</v>
      </c>
      <c r="Q261" s="12">
        <v>8.5039595736409096E-2</v>
      </c>
      <c r="R261" s="12" t="s">
        <v>12</v>
      </c>
      <c r="S261" s="12" t="s">
        <v>12</v>
      </c>
      <c r="T261" s="12">
        <v>0</v>
      </c>
      <c r="U261" s="12" t="s">
        <v>128</v>
      </c>
      <c r="V261" s="12"/>
      <c r="W261" s="12"/>
      <c r="X261" s="12"/>
      <c r="Y261" s="12"/>
      <c r="Z261" s="12"/>
    </row>
    <row r="262" spans="1:26" x14ac:dyDescent="0.15">
      <c r="A262" s="5">
        <v>2003</v>
      </c>
      <c r="B262" s="5" t="s">
        <v>31</v>
      </c>
      <c r="C262" s="14">
        <v>537.82327629883002</v>
      </c>
      <c r="D262" s="14" t="s">
        <v>12</v>
      </c>
      <c r="E262" s="14">
        <v>513.11897054497899</v>
      </c>
      <c r="F262" s="15">
        <v>51.263038477320301</v>
      </c>
      <c r="G262" s="15" t="s">
        <v>12</v>
      </c>
      <c r="H262" s="15" t="s">
        <v>12</v>
      </c>
      <c r="I262" s="15" t="s">
        <v>12</v>
      </c>
      <c r="J262" s="15">
        <v>-0.45534367673571902</v>
      </c>
      <c r="K262" s="15" t="s">
        <v>12</v>
      </c>
      <c r="L262" s="15" t="s">
        <v>12</v>
      </c>
      <c r="M262" s="15" t="s">
        <v>12</v>
      </c>
      <c r="N262" s="15" t="s">
        <v>12</v>
      </c>
      <c r="O262" s="15">
        <v>15.3671937113692</v>
      </c>
      <c r="P262" s="10" t="s">
        <v>12</v>
      </c>
      <c r="Q262" s="15">
        <v>-4.7005322062710499E-2</v>
      </c>
      <c r="R262" s="15" t="s">
        <v>12</v>
      </c>
      <c r="S262" s="15" t="s">
        <v>12</v>
      </c>
      <c r="T262" s="15">
        <v>0</v>
      </c>
      <c r="U262" s="15" t="s">
        <v>127</v>
      </c>
      <c r="V262" s="15"/>
      <c r="W262" s="15"/>
      <c r="X262" s="15"/>
      <c r="Y262" s="15"/>
      <c r="Z262" s="15"/>
    </row>
    <row r="263" spans="1:26" x14ac:dyDescent="0.15">
      <c r="A263" s="4">
        <v>2003</v>
      </c>
      <c r="B263" s="4" t="s">
        <v>32</v>
      </c>
      <c r="C263" s="11">
        <v>523.48658487473699</v>
      </c>
      <c r="D263" s="11" t="s">
        <v>12</v>
      </c>
      <c r="E263" s="11">
        <v>521.55151036560801</v>
      </c>
      <c r="F263" s="12">
        <v>51.457566412527299</v>
      </c>
      <c r="G263" s="12" t="s">
        <v>12</v>
      </c>
      <c r="H263" s="12" t="s">
        <v>12</v>
      </c>
      <c r="I263" s="12" t="s">
        <v>12</v>
      </c>
      <c r="J263" s="12">
        <v>-7.0324944723523602E-2</v>
      </c>
      <c r="K263" s="12" t="s">
        <v>12</v>
      </c>
      <c r="L263" s="12" t="s">
        <v>12</v>
      </c>
      <c r="M263" s="12" t="s">
        <v>12</v>
      </c>
      <c r="N263" s="12" t="s">
        <v>12</v>
      </c>
      <c r="O263" s="12">
        <v>16.461083530539099</v>
      </c>
      <c r="P263" s="13" t="s">
        <v>12</v>
      </c>
      <c r="Q263" s="12">
        <v>4.7194694430289404E-3</v>
      </c>
      <c r="R263" s="12" t="s">
        <v>12</v>
      </c>
      <c r="S263" s="12" t="s">
        <v>12</v>
      </c>
      <c r="T263" s="12">
        <v>0</v>
      </c>
      <c r="U263" s="12" t="s">
        <v>130</v>
      </c>
      <c r="V263" s="12"/>
      <c r="W263" s="12"/>
      <c r="X263" s="12"/>
      <c r="Y263" s="12"/>
      <c r="Z263" s="12"/>
    </row>
    <row r="264" spans="1:26" x14ac:dyDescent="0.15">
      <c r="A264" s="5">
        <v>2003</v>
      </c>
      <c r="B264" s="5" t="s">
        <v>33</v>
      </c>
      <c r="C264" s="14">
        <v>495.18539027849101</v>
      </c>
      <c r="D264" s="14" t="s">
        <v>12</v>
      </c>
      <c r="E264" s="14">
        <v>499.74023387254101</v>
      </c>
      <c r="F264" s="15">
        <v>54.626967092901403</v>
      </c>
      <c r="G264" s="15" t="s">
        <v>12</v>
      </c>
      <c r="H264" s="15" t="s">
        <v>12</v>
      </c>
      <c r="I264" s="15" t="s">
        <v>12</v>
      </c>
      <c r="J264" s="15">
        <v>-0.31129645184021698</v>
      </c>
      <c r="K264" s="15" t="s">
        <v>12</v>
      </c>
      <c r="L264" s="15" t="s">
        <v>12</v>
      </c>
      <c r="M264" s="15" t="s">
        <v>12</v>
      </c>
      <c r="N264" s="15" t="s">
        <v>12</v>
      </c>
      <c r="O264" s="15">
        <v>10</v>
      </c>
      <c r="P264" s="10" t="s">
        <v>12</v>
      </c>
      <c r="Q264" s="15">
        <v>0.241917050630195</v>
      </c>
      <c r="R264" s="15" t="s">
        <v>12</v>
      </c>
      <c r="S264" s="15" t="s">
        <v>12</v>
      </c>
      <c r="T264" s="15">
        <v>27.6</v>
      </c>
      <c r="U264" s="15" t="s">
        <v>127</v>
      </c>
      <c r="V264" s="15"/>
      <c r="W264" s="15"/>
      <c r="X264" s="15"/>
      <c r="Y264" s="15"/>
      <c r="Z264" s="15"/>
    </row>
    <row r="265" spans="1:26" x14ac:dyDescent="0.15">
      <c r="A265" s="4">
        <v>2003</v>
      </c>
      <c r="B265" s="4" t="s">
        <v>34</v>
      </c>
      <c r="C265" s="11">
        <v>490.23877616912603</v>
      </c>
      <c r="D265" s="11" t="s">
        <v>12</v>
      </c>
      <c r="E265" s="11">
        <v>496.60526603965099</v>
      </c>
      <c r="F265" s="12">
        <v>44.956447186340498</v>
      </c>
      <c r="G265" s="12" t="s">
        <v>12</v>
      </c>
      <c r="H265" s="12" t="s">
        <v>12</v>
      </c>
      <c r="I265" s="12" t="s">
        <v>12</v>
      </c>
      <c r="J265" s="12">
        <v>-0.373582658079602</v>
      </c>
      <c r="K265" s="12" t="s">
        <v>12</v>
      </c>
      <c r="L265" s="12" t="s">
        <v>12</v>
      </c>
      <c r="M265" s="12" t="s">
        <v>12</v>
      </c>
      <c r="N265" s="12" t="s">
        <v>12</v>
      </c>
      <c r="O265" s="12">
        <v>13.298184610174699</v>
      </c>
      <c r="P265" s="13" t="s">
        <v>12</v>
      </c>
      <c r="Q265" s="12">
        <v>-0.14951649958753599</v>
      </c>
      <c r="R265" s="12" t="s">
        <v>12</v>
      </c>
      <c r="S265" s="12" t="s">
        <v>12</v>
      </c>
      <c r="T265" s="12">
        <v>34.9</v>
      </c>
      <c r="U265" s="12" t="s">
        <v>127</v>
      </c>
      <c r="V265" s="12"/>
      <c r="W265" s="12"/>
      <c r="X265" s="12"/>
      <c r="Y265" s="12"/>
      <c r="Z265" s="12"/>
    </row>
    <row r="266" spans="1:26" x14ac:dyDescent="0.15">
      <c r="A266" s="5">
        <v>2003</v>
      </c>
      <c r="B266" s="5" t="s">
        <v>35</v>
      </c>
      <c r="C266" s="14">
        <v>466.01669454882301</v>
      </c>
      <c r="D266" s="14" t="s">
        <v>12</v>
      </c>
      <c r="E266" s="14">
        <v>477.56864560801</v>
      </c>
      <c r="F266" s="15">
        <v>43.101363475631402</v>
      </c>
      <c r="G266" s="15" t="s">
        <v>12</v>
      </c>
      <c r="H266" s="15" t="s">
        <v>12</v>
      </c>
      <c r="I266" s="15" t="s">
        <v>12</v>
      </c>
      <c r="J266" s="15">
        <v>2.47043230885577E-2</v>
      </c>
      <c r="K266" s="15" t="s">
        <v>12</v>
      </c>
      <c r="L266" s="15" t="s">
        <v>12</v>
      </c>
      <c r="M266" s="15" t="s">
        <v>12</v>
      </c>
      <c r="N266" s="15" t="s">
        <v>12</v>
      </c>
      <c r="O266" s="15">
        <v>10.994476731805999</v>
      </c>
      <c r="P266" s="10" t="s">
        <v>12</v>
      </c>
      <c r="Q266" s="15">
        <v>0.10094380312328501</v>
      </c>
      <c r="R266" s="15" t="s">
        <v>12</v>
      </c>
      <c r="S266" s="15" t="s">
        <v>12</v>
      </c>
      <c r="T266" s="15">
        <v>38.799999999999997</v>
      </c>
      <c r="U266" s="15" t="s">
        <v>127</v>
      </c>
      <c r="V266" s="15"/>
      <c r="W266" s="15"/>
      <c r="X266" s="15"/>
      <c r="Y266" s="15"/>
      <c r="Z266" s="15"/>
    </row>
    <row r="267" spans="1:26" x14ac:dyDescent="0.15">
      <c r="A267" s="4">
        <v>2003</v>
      </c>
      <c r="B267" s="4" t="s">
        <v>36</v>
      </c>
      <c r="C267" s="11">
        <v>498.18345601374898</v>
      </c>
      <c r="D267" s="11" t="s">
        <v>12</v>
      </c>
      <c r="E267" s="11">
        <v>469.15903330546502</v>
      </c>
      <c r="F267" s="12">
        <v>48.793041509428903</v>
      </c>
      <c r="G267" s="12" t="s">
        <v>12</v>
      </c>
      <c r="H267" s="12" t="s">
        <v>12</v>
      </c>
      <c r="I267" s="12" t="s">
        <v>12</v>
      </c>
      <c r="J267" s="12">
        <v>-0.30250930735121101</v>
      </c>
      <c r="K267" s="12" t="s">
        <v>12</v>
      </c>
      <c r="L267" s="12" t="s">
        <v>12</v>
      </c>
      <c r="M267" s="12" t="s">
        <v>12</v>
      </c>
      <c r="N267" s="12" t="s">
        <v>12</v>
      </c>
      <c r="O267" s="12">
        <v>14.804710663071599</v>
      </c>
      <c r="P267" s="13" t="s">
        <v>12</v>
      </c>
      <c r="Q267" s="12">
        <v>-0.14557431295644299</v>
      </c>
      <c r="R267" s="12" t="s">
        <v>12</v>
      </c>
      <c r="S267" s="12" t="s">
        <v>12</v>
      </c>
      <c r="T267" s="12" t="s">
        <v>125</v>
      </c>
      <c r="U267" s="12" t="s">
        <v>127</v>
      </c>
      <c r="V267" s="12"/>
      <c r="W267" s="12"/>
      <c r="X267" s="12"/>
      <c r="Y267" s="12"/>
      <c r="Z267" s="12"/>
    </row>
    <row r="268" spans="1:26" x14ac:dyDescent="0.15">
      <c r="A268" s="5">
        <v>2003</v>
      </c>
      <c r="B268" s="5" t="s">
        <v>37</v>
      </c>
      <c r="C268" s="14" t="s">
        <v>12</v>
      </c>
      <c r="D268" s="14" t="s">
        <v>12</v>
      </c>
      <c r="E268" s="14" t="s">
        <v>12</v>
      </c>
      <c r="F268" s="15" t="s">
        <v>12</v>
      </c>
      <c r="G268" s="15" t="s">
        <v>12</v>
      </c>
      <c r="H268" s="15" t="s">
        <v>12</v>
      </c>
      <c r="I268" s="15" t="s">
        <v>12</v>
      </c>
      <c r="J268" s="15" t="s">
        <v>12</v>
      </c>
      <c r="K268" s="15" t="s">
        <v>12</v>
      </c>
      <c r="L268" s="15" t="s">
        <v>12</v>
      </c>
      <c r="M268" s="15" t="s">
        <v>12</v>
      </c>
      <c r="N268" s="15" t="s">
        <v>12</v>
      </c>
      <c r="O268" s="15" t="s">
        <v>12</v>
      </c>
      <c r="P268" s="10" t="s">
        <v>12</v>
      </c>
      <c r="Q268" s="15" t="s">
        <v>12</v>
      </c>
      <c r="R268" s="15" t="s">
        <v>12</v>
      </c>
      <c r="S268" s="15" t="s">
        <v>12</v>
      </c>
      <c r="T268" s="15">
        <v>30.9</v>
      </c>
      <c r="U268" s="15" t="s">
        <v>127</v>
      </c>
      <c r="V268" s="15"/>
      <c r="W268" s="15"/>
      <c r="X268" s="15"/>
      <c r="Y268" s="15"/>
      <c r="Z268" s="15"/>
    </row>
    <row r="269" spans="1:26" x14ac:dyDescent="0.15">
      <c r="A269" s="4">
        <v>2003</v>
      </c>
      <c r="B269" s="4" t="s">
        <v>38</v>
      </c>
      <c r="C269" s="11">
        <v>485.10805648692201</v>
      </c>
      <c r="D269" s="11" t="s">
        <v>12</v>
      </c>
      <c r="E269" s="11">
        <v>480.53799071370099</v>
      </c>
      <c r="F269" s="12">
        <v>44.290638185391799</v>
      </c>
      <c r="G269" s="12" t="s">
        <v>12</v>
      </c>
      <c r="H269" s="12" t="s">
        <v>12</v>
      </c>
      <c r="I269" s="12" t="s">
        <v>12</v>
      </c>
      <c r="J269" s="12">
        <v>-0.273736502839309</v>
      </c>
      <c r="K269" s="12" t="s">
        <v>12</v>
      </c>
      <c r="L269" s="12" t="s">
        <v>12</v>
      </c>
      <c r="M269" s="12" t="s">
        <v>12</v>
      </c>
      <c r="N269" s="12" t="s">
        <v>12</v>
      </c>
      <c r="O269" s="12">
        <v>14</v>
      </c>
      <c r="P269" s="13" t="s">
        <v>12</v>
      </c>
      <c r="Q269" s="12">
        <v>0.20774099243569699</v>
      </c>
      <c r="R269" s="12" t="s">
        <v>12</v>
      </c>
      <c r="S269" s="12" t="s">
        <v>12</v>
      </c>
      <c r="T269" s="12">
        <v>31.8</v>
      </c>
      <c r="U269" s="12" t="s">
        <v>127</v>
      </c>
      <c r="V269" s="12"/>
      <c r="W269" s="12"/>
      <c r="X269" s="12"/>
      <c r="Y269" s="12"/>
      <c r="Z269" s="12"/>
    </row>
    <row r="270" spans="1:26" x14ac:dyDescent="0.15">
      <c r="A270" s="5">
        <v>2003</v>
      </c>
      <c r="B270" s="5" t="s">
        <v>39</v>
      </c>
      <c r="C270" s="14">
        <v>509.04644906409499</v>
      </c>
      <c r="D270" s="14" t="s">
        <v>12</v>
      </c>
      <c r="E270" s="14">
        <v>514.26741266579995</v>
      </c>
      <c r="F270" s="15">
        <v>50.636359902954503</v>
      </c>
      <c r="G270" s="15" t="s">
        <v>12</v>
      </c>
      <c r="H270" s="15" t="s">
        <v>12</v>
      </c>
      <c r="I270" s="15" t="s">
        <v>12</v>
      </c>
      <c r="J270" s="15">
        <v>-3.7547687997479998E-2</v>
      </c>
      <c r="K270" s="15" t="s">
        <v>12</v>
      </c>
      <c r="L270" s="15" t="s">
        <v>12</v>
      </c>
      <c r="M270" s="15" t="s">
        <v>12</v>
      </c>
      <c r="N270" s="15" t="s">
        <v>12</v>
      </c>
      <c r="O270" s="15">
        <v>12.397517446731699</v>
      </c>
      <c r="P270" s="10" t="s">
        <v>12</v>
      </c>
      <c r="Q270" s="15">
        <v>0.25167703664751701</v>
      </c>
      <c r="R270" s="15" t="s">
        <v>12</v>
      </c>
      <c r="S270" s="15" t="s">
        <v>12</v>
      </c>
      <c r="T270" s="15">
        <v>25.3</v>
      </c>
      <c r="U270" s="15" t="s">
        <v>127</v>
      </c>
      <c r="V270" s="15"/>
      <c r="W270" s="15"/>
      <c r="X270" s="15"/>
      <c r="Y270" s="15"/>
      <c r="Z270" s="15"/>
    </row>
    <row r="271" spans="1:26" x14ac:dyDescent="0.15">
      <c r="A271" s="4">
        <v>2003</v>
      </c>
      <c r="B271" s="4" t="s">
        <v>40</v>
      </c>
      <c r="C271" s="11">
        <v>526.55314814433996</v>
      </c>
      <c r="D271" s="11" t="s">
        <v>12</v>
      </c>
      <c r="E271" s="11">
        <v>499.12139915198702</v>
      </c>
      <c r="F271" s="12">
        <v>49.300102697863899</v>
      </c>
      <c r="G271" s="12" t="s">
        <v>12</v>
      </c>
      <c r="H271" s="12" t="s">
        <v>12</v>
      </c>
      <c r="I271" s="12" t="s">
        <v>12</v>
      </c>
      <c r="J271" s="12">
        <v>-0.20546474157813599</v>
      </c>
      <c r="K271" s="12" t="s">
        <v>12</v>
      </c>
      <c r="L271" s="12" t="s">
        <v>12</v>
      </c>
      <c r="M271" s="12" t="s">
        <v>12</v>
      </c>
      <c r="N271" s="12" t="s">
        <v>12</v>
      </c>
      <c r="O271" s="12">
        <v>13</v>
      </c>
      <c r="P271" s="13" t="s">
        <v>12</v>
      </c>
      <c r="Q271" s="12">
        <v>0.19649684347582699</v>
      </c>
      <c r="R271" s="12" t="s">
        <v>12</v>
      </c>
      <c r="S271" s="12" t="s">
        <v>12</v>
      </c>
      <c r="T271" s="12">
        <v>0</v>
      </c>
      <c r="U271" s="12" t="s">
        <v>127</v>
      </c>
      <c r="V271" s="12"/>
      <c r="W271" s="12"/>
      <c r="X271" s="12"/>
      <c r="Y271" s="12"/>
      <c r="Z271" s="12"/>
    </row>
    <row r="272" spans="1:26" x14ac:dyDescent="0.15">
      <c r="A272" s="5">
        <v>2003</v>
      </c>
      <c r="B272" s="5" t="s">
        <v>41</v>
      </c>
      <c r="C272" s="14">
        <v>423.41941009498998</v>
      </c>
      <c r="D272" s="14" t="s">
        <v>12</v>
      </c>
      <c r="E272" s="14">
        <v>440.97098880115601</v>
      </c>
      <c r="F272" s="15">
        <v>41.569053162006298</v>
      </c>
      <c r="G272" s="15" t="s">
        <v>12</v>
      </c>
      <c r="H272" s="15" t="s">
        <v>12</v>
      </c>
      <c r="I272" s="15" t="s">
        <v>12</v>
      </c>
      <c r="J272" s="15">
        <v>0.15309783964232401</v>
      </c>
      <c r="K272" s="15" t="s">
        <v>12</v>
      </c>
      <c r="L272" s="15" t="s">
        <v>12</v>
      </c>
      <c r="M272" s="15" t="s">
        <v>12</v>
      </c>
      <c r="N272" s="15" t="s">
        <v>12</v>
      </c>
      <c r="O272" s="15">
        <v>22</v>
      </c>
      <c r="P272" s="10" t="s">
        <v>12</v>
      </c>
      <c r="Q272" s="15">
        <v>-0.42005286604132003</v>
      </c>
      <c r="R272" s="15" t="s">
        <v>12</v>
      </c>
      <c r="S272" s="15" t="s">
        <v>12</v>
      </c>
      <c r="T272" s="15">
        <v>42.2</v>
      </c>
      <c r="U272" s="15" t="s">
        <v>132</v>
      </c>
      <c r="V272" s="15"/>
      <c r="W272" s="15"/>
      <c r="X272" s="15"/>
      <c r="Y272" s="15"/>
      <c r="Z272" s="15"/>
    </row>
    <row r="273" spans="1:26" x14ac:dyDescent="0.15">
      <c r="A273" s="4">
        <v>2003</v>
      </c>
      <c r="B273" s="4" t="s">
        <v>42</v>
      </c>
      <c r="C273" s="11">
        <v>508.25808159830302</v>
      </c>
      <c r="D273" s="11" t="s">
        <v>12</v>
      </c>
      <c r="E273" s="11">
        <v>507.01274902318499</v>
      </c>
      <c r="F273" s="12">
        <v>49.649915563786401</v>
      </c>
      <c r="G273" s="12" t="s">
        <v>12</v>
      </c>
      <c r="H273" s="12" t="s">
        <v>12</v>
      </c>
      <c r="I273" s="12" t="s">
        <v>12</v>
      </c>
      <c r="J273" s="12">
        <v>-5.4286716949514403E-2</v>
      </c>
      <c r="K273" s="12" t="s">
        <v>12</v>
      </c>
      <c r="L273" s="12" t="s">
        <v>12</v>
      </c>
      <c r="M273" s="12" t="s">
        <v>12</v>
      </c>
      <c r="N273" s="12" t="s">
        <v>12</v>
      </c>
      <c r="O273" s="12">
        <v>15.544137127721999</v>
      </c>
      <c r="P273" s="13" t="s">
        <v>12</v>
      </c>
      <c r="Q273" s="12">
        <v>9.1320410101468796E-2</v>
      </c>
      <c r="R273" s="12" t="s">
        <v>12</v>
      </c>
      <c r="S273" s="12" t="s">
        <v>12</v>
      </c>
      <c r="T273" s="12">
        <v>34.9</v>
      </c>
      <c r="U273" s="12" t="s">
        <v>127</v>
      </c>
      <c r="V273" s="12"/>
      <c r="W273" s="12"/>
      <c r="X273" s="12"/>
      <c r="Y273" s="12"/>
      <c r="Z273" s="12"/>
    </row>
    <row r="274" spans="1:26" x14ac:dyDescent="0.15">
      <c r="A274" s="5">
        <v>2003</v>
      </c>
      <c r="B274" s="5" t="s">
        <v>43</v>
      </c>
      <c r="C274" s="14">
        <v>482.88278947585098</v>
      </c>
      <c r="D274" s="14" t="s">
        <v>12</v>
      </c>
      <c r="E274" s="14">
        <v>495.185865174036</v>
      </c>
      <c r="F274" s="15">
        <v>54.549961048143899</v>
      </c>
      <c r="G274" s="15" t="s">
        <v>12</v>
      </c>
      <c r="H274" s="15" t="s">
        <v>12</v>
      </c>
      <c r="I274" s="15" t="s">
        <v>12</v>
      </c>
      <c r="J274" s="15">
        <v>9.1466331468796597E-2</v>
      </c>
      <c r="K274" s="15" t="s">
        <v>12</v>
      </c>
      <c r="L274" s="15" t="s">
        <v>12</v>
      </c>
      <c r="M274" s="15" t="s">
        <v>12</v>
      </c>
      <c r="N274" s="15" t="s">
        <v>12</v>
      </c>
      <c r="O274" s="15">
        <v>16</v>
      </c>
      <c r="P274" s="10" t="s">
        <v>12</v>
      </c>
      <c r="Q274" s="15" t="s">
        <v>12</v>
      </c>
      <c r="R274" s="15" t="s">
        <v>12</v>
      </c>
      <c r="S274" s="15" t="s">
        <v>12</v>
      </c>
      <c r="T274" s="15">
        <v>40.799999999999997</v>
      </c>
      <c r="U274" s="15" t="s">
        <v>128</v>
      </c>
      <c r="V274" s="15"/>
      <c r="W274" s="15"/>
      <c r="X274" s="15"/>
      <c r="Y274" s="15"/>
      <c r="Z274" s="15"/>
    </row>
    <row r="275" spans="1:26" x14ac:dyDescent="0.15">
      <c r="A275" s="4">
        <v>2000</v>
      </c>
      <c r="B275" s="4" t="s">
        <v>4</v>
      </c>
      <c r="C275" s="11" t="s">
        <v>12</v>
      </c>
      <c r="D275" s="11" t="s">
        <v>12</v>
      </c>
      <c r="E275" s="11">
        <v>493.49098699023898</v>
      </c>
      <c r="F275" s="12">
        <v>48.729426242488401</v>
      </c>
      <c r="G275" s="12" t="s">
        <v>12</v>
      </c>
      <c r="H275" s="12" t="s">
        <v>12</v>
      </c>
      <c r="I275" s="12" t="s">
        <v>12</v>
      </c>
      <c r="J275" s="12" t="s">
        <v>12</v>
      </c>
      <c r="K275" s="12">
        <v>4.0940571728314001</v>
      </c>
      <c r="L275" s="12">
        <v>4.1017290852602297</v>
      </c>
      <c r="M275" s="12">
        <v>4.2599026137890297</v>
      </c>
      <c r="N275" s="12" t="s">
        <v>12</v>
      </c>
      <c r="O275" s="12">
        <v>13.8950135532142</v>
      </c>
      <c r="P275" s="13" t="s">
        <v>12</v>
      </c>
      <c r="Q275" s="12" t="s">
        <v>12</v>
      </c>
      <c r="R275" s="12" t="s">
        <v>12</v>
      </c>
      <c r="S275" s="12" t="s">
        <v>12</v>
      </c>
      <c r="T275" s="12" t="s">
        <v>125</v>
      </c>
      <c r="U275" s="12" t="s">
        <v>125</v>
      </c>
      <c r="V275" s="12"/>
      <c r="W275" s="12"/>
      <c r="X275" s="12"/>
      <c r="Y275" s="12"/>
      <c r="Z275" s="12"/>
    </row>
    <row r="276" spans="1:26" x14ac:dyDescent="0.15">
      <c r="A276" s="5">
        <v>2000</v>
      </c>
      <c r="B276" s="5" t="s">
        <v>5</v>
      </c>
      <c r="C276" s="14" t="s">
        <v>12</v>
      </c>
      <c r="D276" s="14" t="s">
        <v>12</v>
      </c>
      <c r="E276" s="14">
        <v>528.27850464555604</v>
      </c>
      <c r="F276" s="15">
        <v>52.248209388132999</v>
      </c>
      <c r="G276" s="15" t="s">
        <v>12</v>
      </c>
      <c r="H276" s="15" t="s">
        <v>12</v>
      </c>
      <c r="I276" s="15" t="s">
        <v>12</v>
      </c>
      <c r="J276" s="15" t="s">
        <v>12</v>
      </c>
      <c r="K276" s="15">
        <v>4.7158622627109601</v>
      </c>
      <c r="L276" s="15">
        <v>4.2550767941871097</v>
      </c>
      <c r="M276" s="15">
        <v>4.6345032809636004</v>
      </c>
      <c r="N276" s="15" t="s">
        <v>12</v>
      </c>
      <c r="O276" s="15">
        <v>13.7070513300604</v>
      </c>
      <c r="P276" s="10" t="s">
        <v>12</v>
      </c>
      <c r="Q276" s="15" t="s">
        <v>12</v>
      </c>
      <c r="R276" s="15" t="s">
        <v>12</v>
      </c>
      <c r="S276" s="15" t="s">
        <v>12</v>
      </c>
      <c r="T276" s="15">
        <v>0</v>
      </c>
      <c r="U276" s="15" t="s">
        <v>130</v>
      </c>
      <c r="V276" s="15"/>
      <c r="W276" s="15"/>
      <c r="X276" s="15"/>
      <c r="Y276" s="15"/>
      <c r="Z276" s="15"/>
    </row>
    <row r="277" spans="1:26" x14ac:dyDescent="0.15">
      <c r="A277" s="4">
        <v>2000</v>
      </c>
      <c r="B277" s="4" t="s">
        <v>6</v>
      </c>
      <c r="C277" s="11" t="s">
        <v>12</v>
      </c>
      <c r="D277" s="11" t="s">
        <v>12</v>
      </c>
      <c r="E277" s="11">
        <v>492.05600717267902</v>
      </c>
      <c r="F277" s="12">
        <v>48.642239901387001</v>
      </c>
      <c r="G277" s="12" t="s">
        <v>12</v>
      </c>
      <c r="H277" s="12" t="s">
        <v>12</v>
      </c>
      <c r="I277" s="12" t="s">
        <v>12</v>
      </c>
      <c r="J277" s="12" t="s">
        <v>12</v>
      </c>
      <c r="K277" s="12">
        <v>2.9902106090474798</v>
      </c>
      <c r="L277" s="12">
        <v>3.12344755117629</v>
      </c>
      <c r="M277" s="12">
        <v>2.84634956785967</v>
      </c>
      <c r="N277" s="12" t="s">
        <v>12</v>
      </c>
      <c r="O277" s="12">
        <v>12.6378451650555</v>
      </c>
      <c r="P277" s="13" t="s">
        <v>12</v>
      </c>
      <c r="Q277" s="12" t="s">
        <v>12</v>
      </c>
      <c r="R277" s="12" t="s">
        <v>12</v>
      </c>
      <c r="S277" s="12" t="s">
        <v>12</v>
      </c>
      <c r="T277" s="12">
        <v>29</v>
      </c>
      <c r="U277" s="12" t="s">
        <v>127</v>
      </c>
      <c r="V277" s="12"/>
      <c r="W277" s="12"/>
      <c r="X277" s="12"/>
      <c r="Y277" s="12"/>
      <c r="Z277" s="12"/>
    </row>
    <row r="278" spans="1:26" x14ac:dyDescent="0.15">
      <c r="A278" s="5">
        <v>2000</v>
      </c>
      <c r="B278" s="5" t="s">
        <v>7</v>
      </c>
      <c r="C278" s="14" t="s">
        <v>12</v>
      </c>
      <c r="D278" s="14" t="s">
        <v>12</v>
      </c>
      <c r="E278" s="14">
        <v>507.12589041176301</v>
      </c>
      <c r="F278" s="15">
        <v>48.947513944057903</v>
      </c>
      <c r="G278" s="15" t="s">
        <v>12</v>
      </c>
      <c r="H278" s="15" t="s">
        <v>12</v>
      </c>
      <c r="I278" s="15" t="s">
        <v>12</v>
      </c>
      <c r="J278" s="15" t="s">
        <v>12</v>
      </c>
      <c r="K278" s="15">
        <v>4.0343108787471902</v>
      </c>
      <c r="L278" s="15">
        <v>2.7703643470455601</v>
      </c>
      <c r="M278" s="15">
        <v>4.1173348912458403</v>
      </c>
      <c r="N278" s="15" t="s">
        <v>12</v>
      </c>
      <c r="O278" s="15">
        <v>9.7450709908156696</v>
      </c>
      <c r="P278" s="10" t="s">
        <v>12</v>
      </c>
      <c r="Q278" s="15" t="s">
        <v>12</v>
      </c>
      <c r="R278" s="15" t="s">
        <v>12</v>
      </c>
      <c r="S278" s="15" t="s">
        <v>12</v>
      </c>
      <c r="T278" s="15">
        <v>33.1</v>
      </c>
      <c r="U278" s="15" t="s">
        <v>127</v>
      </c>
      <c r="V278" s="15"/>
      <c r="W278" s="15"/>
      <c r="X278" s="15"/>
      <c r="Y278" s="15"/>
      <c r="Z278" s="15"/>
    </row>
    <row r="279" spans="1:26" x14ac:dyDescent="0.15">
      <c r="A279" s="4">
        <v>2000</v>
      </c>
      <c r="B279" s="4" t="s">
        <v>8</v>
      </c>
      <c r="C279" s="11" t="s">
        <v>12</v>
      </c>
      <c r="D279" s="11" t="s">
        <v>12</v>
      </c>
      <c r="E279" s="11">
        <v>534.31271906357802</v>
      </c>
      <c r="F279" s="12">
        <v>52.831933741663903</v>
      </c>
      <c r="G279" s="12" t="s">
        <v>12</v>
      </c>
      <c r="H279" s="12" t="s">
        <v>12</v>
      </c>
      <c r="I279" s="12" t="s">
        <v>12</v>
      </c>
      <c r="J279" s="12" t="s">
        <v>12</v>
      </c>
      <c r="K279" s="12">
        <v>4.2218438214755496</v>
      </c>
      <c r="L279" s="12">
        <v>4.0723377912050696</v>
      </c>
      <c r="M279" s="12">
        <v>4.34575059914095</v>
      </c>
      <c r="N279" s="12" t="s">
        <v>12</v>
      </c>
      <c r="O279" s="12" t="s">
        <v>12</v>
      </c>
      <c r="P279" s="13" t="s">
        <v>12</v>
      </c>
      <c r="Q279" s="12" t="s">
        <v>12</v>
      </c>
      <c r="R279" s="12" t="s">
        <v>12</v>
      </c>
      <c r="S279" s="12" t="s">
        <v>12</v>
      </c>
      <c r="T279" s="12">
        <v>33.4</v>
      </c>
      <c r="U279" s="12" t="s">
        <v>128</v>
      </c>
      <c r="V279" s="12"/>
      <c r="W279" s="12"/>
      <c r="X279" s="12"/>
      <c r="Y279" s="12"/>
      <c r="Z279" s="12"/>
    </row>
    <row r="280" spans="1:26" x14ac:dyDescent="0.15">
      <c r="A280" s="5">
        <v>2000</v>
      </c>
      <c r="B280" s="5" t="s">
        <v>9</v>
      </c>
      <c r="C280" s="14" t="s">
        <v>12</v>
      </c>
      <c r="D280" s="14" t="s">
        <v>12</v>
      </c>
      <c r="E280" s="14">
        <v>409.55678198189599</v>
      </c>
      <c r="F280" s="15">
        <v>39.865088569555297</v>
      </c>
      <c r="G280" s="15" t="s">
        <v>12</v>
      </c>
      <c r="H280" s="15" t="s">
        <v>12</v>
      </c>
      <c r="I280" s="15" t="s">
        <v>12</v>
      </c>
      <c r="J280" s="15" t="s">
        <v>12</v>
      </c>
      <c r="K280" s="15">
        <v>5.0234968443207197</v>
      </c>
      <c r="L280" s="15">
        <v>5.3222412687265797</v>
      </c>
      <c r="M280" s="15">
        <v>4.9117859673174697</v>
      </c>
      <c r="N280" s="15" t="s">
        <v>12</v>
      </c>
      <c r="O280" s="15">
        <v>29</v>
      </c>
      <c r="P280" s="10" t="s">
        <v>12</v>
      </c>
      <c r="Q280" s="15" t="s">
        <v>12</v>
      </c>
      <c r="R280" s="15" t="s">
        <v>12</v>
      </c>
      <c r="S280" s="15" t="s">
        <v>12</v>
      </c>
      <c r="T280" s="15">
        <v>52.8</v>
      </c>
      <c r="U280" s="15" t="s">
        <v>131</v>
      </c>
      <c r="V280" s="15"/>
      <c r="W280" s="15"/>
      <c r="X280" s="15"/>
      <c r="Y280" s="15"/>
      <c r="Z280" s="15"/>
    </row>
    <row r="281" spans="1:26" x14ac:dyDescent="0.15">
      <c r="A281" s="4">
        <v>2000</v>
      </c>
      <c r="B281" s="4" t="s">
        <v>10</v>
      </c>
      <c r="C281" s="11" t="s">
        <v>12</v>
      </c>
      <c r="D281" s="11" t="s">
        <v>12</v>
      </c>
      <c r="E281" s="11" t="s">
        <v>12</v>
      </c>
      <c r="F281" s="12" t="s">
        <v>12</v>
      </c>
      <c r="G281" s="12" t="s">
        <v>12</v>
      </c>
      <c r="H281" s="12" t="s">
        <v>12</v>
      </c>
      <c r="I281" s="12" t="s">
        <v>12</v>
      </c>
      <c r="J281" s="12" t="s">
        <v>12</v>
      </c>
      <c r="K281" s="12" t="s">
        <v>12</v>
      </c>
      <c r="L281" s="12" t="s">
        <v>12</v>
      </c>
      <c r="M281" s="12" t="s">
        <v>12</v>
      </c>
      <c r="N281" s="12" t="s">
        <v>12</v>
      </c>
      <c r="O281" s="12" t="s">
        <v>12</v>
      </c>
      <c r="P281" s="13" t="s">
        <v>12</v>
      </c>
      <c r="Q281" s="12" t="s">
        <v>12</v>
      </c>
      <c r="R281" s="12" t="s">
        <v>12</v>
      </c>
      <c r="S281" s="12" t="s">
        <v>12</v>
      </c>
      <c r="T281" s="12" t="s">
        <v>125</v>
      </c>
      <c r="U281" s="12" t="s">
        <v>131</v>
      </c>
      <c r="V281" s="12"/>
      <c r="W281" s="12"/>
      <c r="X281" s="12"/>
      <c r="Y281" s="12"/>
      <c r="Z281" s="12"/>
    </row>
    <row r="282" spans="1:26" x14ac:dyDescent="0.15">
      <c r="A282" s="5">
        <v>2000</v>
      </c>
      <c r="B282" s="5" t="s">
        <v>11</v>
      </c>
      <c r="C282" s="14" t="s">
        <v>12</v>
      </c>
      <c r="D282" s="14" t="s">
        <v>12</v>
      </c>
      <c r="E282" s="14" t="s">
        <v>12</v>
      </c>
      <c r="F282" s="15" t="s">
        <v>12</v>
      </c>
      <c r="G282" s="15" t="s">
        <v>12</v>
      </c>
      <c r="H282" s="15" t="s">
        <v>12</v>
      </c>
      <c r="I282" s="15" t="s">
        <v>12</v>
      </c>
      <c r="J282" s="15" t="s">
        <v>12</v>
      </c>
      <c r="K282" s="15" t="s">
        <v>12</v>
      </c>
      <c r="L282" s="15" t="s">
        <v>12</v>
      </c>
      <c r="M282" s="15" t="s">
        <v>12</v>
      </c>
      <c r="N282" s="15" t="s">
        <v>12</v>
      </c>
      <c r="O282" s="15" t="s">
        <v>12</v>
      </c>
      <c r="P282" s="10" t="s">
        <v>12</v>
      </c>
      <c r="Q282" s="15" t="s">
        <v>12</v>
      </c>
      <c r="R282" s="15" t="s">
        <v>12</v>
      </c>
      <c r="S282" s="15" t="s">
        <v>12</v>
      </c>
      <c r="T282" s="15" t="s">
        <v>125</v>
      </c>
      <c r="U282" s="15" t="s">
        <v>128</v>
      </c>
      <c r="V282" s="15"/>
      <c r="W282" s="15"/>
      <c r="X282" s="15"/>
      <c r="Y282" s="15"/>
      <c r="Z282" s="15"/>
    </row>
    <row r="283" spans="1:26" x14ac:dyDescent="0.15">
      <c r="A283" s="4">
        <v>2000</v>
      </c>
      <c r="B283" s="4" t="s">
        <v>13</v>
      </c>
      <c r="C283" s="11" t="s">
        <v>12</v>
      </c>
      <c r="D283" s="11" t="s">
        <v>12</v>
      </c>
      <c r="E283" s="11">
        <v>491.577032406532</v>
      </c>
      <c r="F283" s="12">
        <v>48.310360290198503</v>
      </c>
      <c r="G283" s="12" t="s">
        <v>12</v>
      </c>
      <c r="H283" s="12" t="s">
        <v>12</v>
      </c>
      <c r="I283" s="12" t="s">
        <v>12</v>
      </c>
      <c r="J283" s="12" t="s">
        <v>12</v>
      </c>
      <c r="K283" s="12">
        <v>3.65249873829401</v>
      </c>
      <c r="L283" s="12">
        <v>5.0412051632547996</v>
      </c>
      <c r="M283" s="12">
        <v>3.5788468295944602</v>
      </c>
      <c r="N283" s="12" t="s">
        <v>12</v>
      </c>
      <c r="O283" s="12">
        <v>15.455733170685299</v>
      </c>
      <c r="P283" s="13" t="s">
        <v>12</v>
      </c>
      <c r="Q283" s="12" t="s">
        <v>12</v>
      </c>
      <c r="R283" s="12" t="s">
        <v>12</v>
      </c>
      <c r="S283" s="12" t="s">
        <v>12</v>
      </c>
      <c r="T283" s="12">
        <v>0</v>
      </c>
      <c r="U283" s="12" t="s">
        <v>127</v>
      </c>
      <c r="V283" s="12"/>
      <c r="W283" s="12"/>
      <c r="X283" s="12"/>
      <c r="Y283" s="12"/>
      <c r="Z283" s="12"/>
    </row>
    <row r="284" spans="1:26" x14ac:dyDescent="0.15">
      <c r="A284" s="5">
        <v>2000</v>
      </c>
      <c r="B284" s="5" t="s">
        <v>14</v>
      </c>
      <c r="C284" s="14" t="s">
        <v>12</v>
      </c>
      <c r="D284" s="14" t="s">
        <v>12</v>
      </c>
      <c r="E284" s="14">
        <v>496.87096638103202</v>
      </c>
      <c r="F284" s="15">
        <v>49.732987293789499</v>
      </c>
      <c r="G284" s="15" t="s">
        <v>12</v>
      </c>
      <c r="H284" s="15" t="s">
        <v>12</v>
      </c>
      <c r="I284" s="15" t="s">
        <v>12</v>
      </c>
      <c r="J284" s="15" t="s">
        <v>12</v>
      </c>
      <c r="K284" s="15">
        <v>4</v>
      </c>
      <c r="L284" s="15">
        <v>2.6</v>
      </c>
      <c r="M284" s="15">
        <v>6.9</v>
      </c>
      <c r="N284" s="15" t="s">
        <v>12</v>
      </c>
      <c r="O284" s="15">
        <v>11.4307763264922</v>
      </c>
      <c r="P284" s="10" t="s">
        <v>12</v>
      </c>
      <c r="Q284" s="15" t="s">
        <v>12</v>
      </c>
      <c r="R284" s="15" t="s">
        <v>12</v>
      </c>
      <c r="S284" s="15" t="s">
        <v>12</v>
      </c>
      <c r="T284" s="15">
        <v>23.8</v>
      </c>
      <c r="U284" s="15" t="s">
        <v>127</v>
      </c>
      <c r="V284" s="15"/>
      <c r="W284" s="15"/>
      <c r="X284" s="15"/>
      <c r="Y284" s="15"/>
      <c r="Z284" s="15"/>
    </row>
    <row r="285" spans="1:26" x14ac:dyDescent="0.15">
      <c r="A285" s="4">
        <v>2000</v>
      </c>
      <c r="B285" s="4" t="s">
        <v>15</v>
      </c>
      <c r="C285" s="11" t="s">
        <v>12</v>
      </c>
      <c r="D285" s="11" t="s">
        <v>12</v>
      </c>
      <c r="E285" s="11" t="s">
        <v>12</v>
      </c>
      <c r="F285" s="12" t="s">
        <v>12</v>
      </c>
      <c r="G285" s="12" t="s">
        <v>12</v>
      </c>
      <c r="H285" s="12" t="s">
        <v>12</v>
      </c>
      <c r="I285" s="12" t="s">
        <v>12</v>
      </c>
      <c r="J285" s="12" t="s">
        <v>12</v>
      </c>
      <c r="K285" s="12" t="s">
        <v>12</v>
      </c>
      <c r="L285" s="12" t="s">
        <v>12</v>
      </c>
      <c r="M285" s="12" t="s">
        <v>12</v>
      </c>
      <c r="N285" s="12" t="s">
        <v>12</v>
      </c>
      <c r="O285" s="12" t="s">
        <v>12</v>
      </c>
      <c r="P285" s="13" t="s">
        <v>12</v>
      </c>
      <c r="Q285" s="12" t="s">
        <v>12</v>
      </c>
      <c r="R285" s="12" t="s">
        <v>12</v>
      </c>
      <c r="S285" s="12" t="s">
        <v>12</v>
      </c>
      <c r="T285" s="12">
        <v>35.799999999999997</v>
      </c>
      <c r="U285" s="12" t="s">
        <v>127</v>
      </c>
      <c r="V285" s="12"/>
      <c r="W285" s="12"/>
      <c r="X285" s="12"/>
      <c r="Y285" s="12"/>
      <c r="Z285" s="12"/>
    </row>
    <row r="286" spans="1:26" x14ac:dyDescent="0.15">
      <c r="A286" s="5">
        <v>2000</v>
      </c>
      <c r="B286" s="5" t="s">
        <v>16</v>
      </c>
      <c r="C286" s="14" t="s">
        <v>12</v>
      </c>
      <c r="D286" s="14" t="s">
        <v>12</v>
      </c>
      <c r="E286" s="14">
        <v>546.46914455615104</v>
      </c>
      <c r="F286" s="15">
        <v>50.000953695938499</v>
      </c>
      <c r="G286" s="15" t="s">
        <v>12</v>
      </c>
      <c r="H286" s="15" t="s">
        <v>12</v>
      </c>
      <c r="I286" s="15" t="s">
        <v>12</v>
      </c>
      <c r="J286" s="15" t="s">
        <v>12</v>
      </c>
      <c r="K286" s="15">
        <v>3.4895608154256799</v>
      </c>
      <c r="L286" s="15">
        <v>4.4551682227395197</v>
      </c>
      <c r="M286" s="15">
        <v>3.0588114501730699</v>
      </c>
      <c r="N286" s="15" t="s">
        <v>12</v>
      </c>
      <c r="O286" s="15">
        <v>11.2777634759139</v>
      </c>
      <c r="P286" s="10" t="s">
        <v>12</v>
      </c>
      <c r="Q286" s="15" t="s">
        <v>12</v>
      </c>
      <c r="R286" s="15" t="s">
        <v>12</v>
      </c>
      <c r="S286" s="15" t="s">
        <v>12</v>
      </c>
      <c r="T286" s="15">
        <v>27.2</v>
      </c>
      <c r="U286" s="15" t="s">
        <v>127</v>
      </c>
      <c r="V286" s="15"/>
      <c r="W286" s="15"/>
      <c r="X286" s="15"/>
      <c r="Y286" s="15"/>
      <c r="Z286" s="15"/>
    </row>
    <row r="287" spans="1:26" x14ac:dyDescent="0.15">
      <c r="A287" s="4">
        <v>2000</v>
      </c>
      <c r="B287" s="4" t="s">
        <v>17</v>
      </c>
      <c r="C287" s="11" t="s">
        <v>12</v>
      </c>
      <c r="D287" s="11" t="s">
        <v>12</v>
      </c>
      <c r="E287" s="11">
        <v>504.74238850818301</v>
      </c>
      <c r="F287" s="12">
        <v>48.265041411429301</v>
      </c>
      <c r="G287" s="12" t="s">
        <v>12</v>
      </c>
      <c r="H287" s="12" t="s">
        <v>12</v>
      </c>
      <c r="I287" s="12" t="s">
        <v>12</v>
      </c>
      <c r="J287" s="12" t="s">
        <v>12</v>
      </c>
      <c r="K287" s="12">
        <v>3.5867800835310999</v>
      </c>
      <c r="L287" s="12">
        <v>3.8278714720873701</v>
      </c>
      <c r="M287" s="12">
        <v>4.0169877515434003</v>
      </c>
      <c r="N287" s="12" t="s">
        <v>12</v>
      </c>
      <c r="O287" s="12">
        <v>12</v>
      </c>
      <c r="P287" s="13" t="s">
        <v>12</v>
      </c>
      <c r="Q287" s="12" t="s">
        <v>12</v>
      </c>
      <c r="R287" s="12" t="s">
        <v>12</v>
      </c>
      <c r="S287" s="12" t="s">
        <v>12</v>
      </c>
      <c r="T287" s="12">
        <v>32.6</v>
      </c>
      <c r="U287" s="12" t="s">
        <v>127</v>
      </c>
      <c r="V287" s="12"/>
      <c r="W287" s="12"/>
      <c r="X287" s="12"/>
      <c r="Y287" s="12"/>
      <c r="Z287" s="12"/>
    </row>
    <row r="288" spans="1:26" x14ac:dyDescent="0.15">
      <c r="A288" s="5">
        <v>2000</v>
      </c>
      <c r="B288" s="5" t="s">
        <v>18</v>
      </c>
      <c r="C288" s="14" t="s">
        <v>12</v>
      </c>
      <c r="D288" s="14" t="s">
        <v>12</v>
      </c>
      <c r="E288" s="14">
        <v>483.99082368004503</v>
      </c>
      <c r="F288" s="15">
        <v>48.845168172855097</v>
      </c>
      <c r="G288" s="15" t="s">
        <v>12</v>
      </c>
      <c r="H288" s="15" t="s">
        <v>12</v>
      </c>
      <c r="I288" s="15" t="s">
        <v>12</v>
      </c>
      <c r="J288" s="15" t="s">
        <v>12</v>
      </c>
      <c r="K288" s="15">
        <v>3.7524900218625601</v>
      </c>
      <c r="L288" s="15">
        <v>4.3100833984918001</v>
      </c>
      <c r="M288" s="15">
        <v>3.6845045546456099</v>
      </c>
      <c r="N288" s="15" t="s">
        <v>12</v>
      </c>
      <c r="O288" s="15">
        <v>18</v>
      </c>
      <c r="P288" s="10" t="s">
        <v>12</v>
      </c>
      <c r="Q288" s="15" t="s">
        <v>12</v>
      </c>
      <c r="R288" s="15" t="s">
        <v>12</v>
      </c>
      <c r="S288" s="15" t="s">
        <v>12</v>
      </c>
      <c r="T288" s="15">
        <v>28.9</v>
      </c>
      <c r="U288" s="15" t="s">
        <v>127</v>
      </c>
      <c r="V288" s="15"/>
      <c r="W288" s="15"/>
      <c r="X288" s="15"/>
      <c r="Y288" s="15"/>
      <c r="Z288" s="15"/>
    </row>
    <row r="289" spans="1:26" x14ac:dyDescent="0.15">
      <c r="A289" s="4">
        <v>2000</v>
      </c>
      <c r="B289" s="4" t="s">
        <v>19</v>
      </c>
      <c r="C289" s="11" t="s">
        <v>12</v>
      </c>
      <c r="D289" s="11" t="s">
        <v>12</v>
      </c>
      <c r="E289" s="11">
        <v>473.79885132714202</v>
      </c>
      <c r="F289" s="12">
        <v>47.761023543123102</v>
      </c>
      <c r="G289" s="12" t="s">
        <v>12</v>
      </c>
      <c r="H289" s="12" t="s">
        <v>12</v>
      </c>
      <c r="I289" s="12" t="s">
        <v>12</v>
      </c>
      <c r="J289" s="12" t="s">
        <v>12</v>
      </c>
      <c r="K289" s="12">
        <v>4</v>
      </c>
      <c r="L289" s="12">
        <v>4.0999999999999996</v>
      </c>
      <c r="M289" s="12">
        <v>6.7</v>
      </c>
      <c r="N289" s="12" t="s">
        <v>12</v>
      </c>
      <c r="O289" s="12">
        <v>10.331705911351699</v>
      </c>
      <c r="P289" s="13" t="s">
        <v>12</v>
      </c>
      <c r="Q289" s="12" t="s">
        <v>12</v>
      </c>
      <c r="R289" s="12" t="s">
        <v>12</v>
      </c>
      <c r="S289" s="12" t="s">
        <v>12</v>
      </c>
      <c r="T289" s="12">
        <v>34.4</v>
      </c>
      <c r="U289" s="12" t="s">
        <v>127</v>
      </c>
      <c r="V289" s="12"/>
      <c r="W289" s="12"/>
      <c r="X289" s="12"/>
      <c r="Y289" s="12"/>
      <c r="Z289" s="12"/>
    </row>
    <row r="290" spans="1:26" x14ac:dyDescent="0.15">
      <c r="A290" s="5">
        <v>2000</v>
      </c>
      <c r="B290" s="5" t="s">
        <v>20</v>
      </c>
      <c r="C290" s="14" t="s">
        <v>12</v>
      </c>
      <c r="D290" s="14" t="s">
        <v>12</v>
      </c>
      <c r="E290" s="14">
        <v>479.96677766687799</v>
      </c>
      <c r="F290" s="15">
        <v>49.529048092103203</v>
      </c>
      <c r="G290" s="15" t="s">
        <v>12</v>
      </c>
      <c r="H290" s="15" t="s">
        <v>12</v>
      </c>
      <c r="I290" s="15" t="s">
        <v>12</v>
      </c>
      <c r="J290" s="15" t="s">
        <v>12</v>
      </c>
      <c r="K290" s="15">
        <v>3.7564160011760701</v>
      </c>
      <c r="L290" s="15">
        <v>6.6254094939330104</v>
      </c>
      <c r="M290" s="15">
        <v>3.9137883696429299</v>
      </c>
      <c r="N290" s="15" t="s">
        <v>12</v>
      </c>
      <c r="O290" s="15">
        <v>10.649059174991599</v>
      </c>
      <c r="P290" s="10" t="s">
        <v>12</v>
      </c>
      <c r="Q290" s="15" t="s">
        <v>12</v>
      </c>
      <c r="R290" s="15" t="s">
        <v>12</v>
      </c>
      <c r="S290" s="15" t="s">
        <v>12</v>
      </c>
      <c r="T290" s="15">
        <v>27.2</v>
      </c>
      <c r="U290" s="15" t="s">
        <v>127</v>
      </c>
      <c r="V290" s="15"/>
      <c r="W290" s="15"/>
      <c r="X290" s="15"/>
      <c r="Y290" s="15"/>
      <c r="Z290" s="15"/>
    </row>
    <row r="291" spans="1:26" x14ac:dyDescent="0.15">
      <c r="A291" s="4">
        <v>2000</v>
      </c>
      <c r="B291" s="4" t="s">
        <v>21</v>
      </c>
      <c r="C291" s="11" t="s">
        <v>12</v>
      </c>
      <c r="D291" s="11" t="s">
        <v>12</v>
      </c>
      <c r="E291" s="11">
        <v>506.93046160478502</v>
      </c>
      <c r="F291" s="12">
        <v>52.731379643337199</v>
      </c>
      <c r="G291" s="12" t="s">
        <v>12</v>
      </c>
      <c r="H291" s="12" t="s">
        <v>12</v>
      </c>
      <c r="I291" s="12" t="s">
        <v>12</v>
      </c>
      <c r="J291" s="12" t="s">
        <v>12</v>
      </c>
      <c r="K291" s="12">
        <v>5.78360777218961</v>
      </c>
      <c r="L291" s="12">
        <v>2.5302626481325499</v>
      </c>
      <c r="M291" s="12">
        <v>5.7945844115628899</v>
      </c>
      <c r="N291" s="12" t="s">
        <v>12</v>
      </c>
      <c r="O291" s="12">
        <v>13.014234079301501</v>
      </c>
      <c r="P291" s="13" t="s">
        <v>12</v>
      </c>
      <c r="Q291" s="12" t="s">
        <v>12</v>
      </c>
      <c r="R291" s="12" t="s">
        <v>12</v>
      </c>
      <c r="S291" s="12" t="s">
        <v>12</v>
      </c>
      <c r="T291" s="12">
        <v>0</v>
      </c>
      <c r="U291" s="12" t="s">
        <v>127</v>
      </c>
      <c r="V291" s="12"/>
      <c r="W291" s="12"/>
      <c r="X291" s="12"/>
      <c r="Y291" s="12"/>
      <c r="Z291" s="12"/>
    </row>
    <row r="292" spans="1:26" x14ac:dyDescent="0.15">
      <c r="A292" s="5">
        <v>2000</v>
      </c>
      <c r="B292" s="5" t="s">
        <v>22</v>
      </c>
      <c r="C292" s="14" t="s">
        <v>12</v>
      </c>
      <c r="D292" s="14" t="s">
        <v>12</v>
      </c>
      <c r="E292" s="14">
        <v>526.66864916239297</v>
      </c>
      <c r="F292" s="15">
        <v>48.425117497073202</v>
      </c>
      <c r="G292" s="15" t="s">
        <v>12</v>
      </c>
      <c r="H292" s="15" t="s">
        <v>12</v>
      </c>
      <c r="I292" s="15" t="s">
        <v>12</v>
      </c>
      <c r="J292" s="15" t="s">
        <v>12</v>
      </c>
      <c r="K292" s="15">
        <v>4.7251741507301599</v>
      </c>
      <c r="L292" s="15">
        <v>3.5478978546550701</v>
      </c>
      <c r="M292" s="15">
        <v>4.5967651490035699</v>
      </c>
      <c r="N292" s="15" t="s">
        <v>12</v>
      </c>
      <c r="O292" s="15">
        <v>15.023864287307299</v>
      </c>
      <c r="P292" s="10" t="s">
        <v>12</v>
      </c>
      <c r="Q292" s="15" t="s">
        <v>12</v>
      </c>
      <c r="R292" s="15" t="s">
        <v>12</v>
      </c>
      <c r="S292" s="15" t="s">
        <v>12</v>
      </c>
      <c r="T292" s="15">
        <v>33</v>
      </c>
      <c r="U292" s="15" t="s">
        <v>127</v>
      </c>
      <c r="V292" s="15"/>
      <c r="W292" s="15"/>
      <c r="X292" s="15"/>
      <c r="Y292" s="15"/>
      <c r="Z292" s="15"/>
    </row>
    <row r="293" spans="1:26" x14ac:dyDescent="0.15">
      <c r="A293" s="4">
        <v>2000</v>
      </c>
      <c r="B293" s="4" t="s">
        <v>23</v>
      </c>
      <c r="C293" s="11" t="s">
        <v>12</v>
      </c>
      <c r="D293" s="11" t="s">
        <v>12</v>
      </c>
      <c r="E293" s="11">
        <v>452.17240434671498</v>
      </c>
      <c r="F293" s="12">
        <v>55.3</v>
      </c>
      <c r="G293" s="12" t="s">
        <v>12</v>
      </c>
      <c r="H293" s="12" t="s">
        <v>12</v>
      </c>
      <c r="I293" s="12" t="s">
        <v>12</v>
      </c>
      <c r="J293" s="12" t="s">
        <v>12</v>
      </c>
      <c r="K293" s="12">
        <v>5</v>
      </c>
      <c r="L293" s="12">
        <v>5</v>
      </c>
      <c r="M293" s="12">
        <v>3.9</v>
      </c>
      <c r="N293" s="12" t="s">
        <v>12</v>
      </c>
      <c r="O293" s="12">
        <v>12</v>
      </c>
      <c r="P293" s="13" t="s">
        <v>12</v>
      </c>
      <c r="Q293" s="12" t="s">
        <v>12</v>
      </c>
      <c r="R293" s="12" t="s">
        <v>12</v>
      </c>
      <c r="S293" s="12" t="s">
        <v>12</v>
      </c>
      <c r="T293" s="12">
        <v>0</v>
      </c>
      <c r="U293" s="12" t="s">
        <v>132</v>
      </c>
      <c r="V293" s="12"/>
      <c r="W293" s="12"/>
      <c r="X293" s="12"/>
      <c r="Y293" s="12"/>
      <c r="Z293" s="12"/>
    </row>
    <row r="294" spans="1:26" x14ac:dyDescent="0.15">
      <c r="A294" s="5">
        <v>2000</v>
      </c>
      <c r="B294" s="5" t="s">
        <v>24</v>
      </c>
      <c r="C294" s="14" t="s">
        <v>12</v>
      </c>
      <c r="D294" s="14" t="s">
        <v>12</v>
      </c>
      <c r="E294" s="14">
        <v>487.46964519571401</v>
      </c>
      <c r="F294" s="15">
        <v>47.077065587373298</v>
      </c>
      <c r="G294" s="15" t="s">
        <v>12</v>
      </c>
      <c r="H294" s="15" t="s">
        <v>12</v>
      </c>
      <c r="I294" s="15" t="s">
        <v>12</v>
      </c>
      <c r="J294" s="15" t="s">
        <v>12</v>
      </c>
      <c r="K294" s="15">
        <v>4.2514688985970697</v>
      </c>
      <c r="L294" s="15">
        <v>4.1666935203838698</v>
      </c>
      <c r="M294" s="15">
        <v>5.9956001508402101</v>
      </c>
      <c r="N294" s="15" t="s">
        <v>12</v>
      </c>
      <c r="O294" s="15">
        <v>9.1587145040671505</v>
      </c>
      <c r="P294" s="10" t="s">
        <v>12</v>
      </c>
      <c r="Q294" s="15" t="s">
        <v>12</v>
      </c>
      <c r="R294" s="15" t="s">
        <v>12</v>
      </c>
      <c r="S294" s="15" t="s">
        <v>12</v>
      </c>
      <c r="T294" s="15">
        <v>35.200000000000003</v>
      </c>
      <c r="U294" s="15" t="s">
        <v>127</v>
      </c>
      <c r="V294" s="15"/>
      <c r="W294" s="15"/>
      <c r="X294" s="15"/>
      <c r="Y294" s="15"/>
      <c r="Z294" s="15"/>
    </row>
    <row r="295" spans="1:26" x14ac:dyDescent="0.15">
      <c r="A295" s="4">
        <v>2000</v>
      </c>
      <c r="B295" s="4" t="s">
        <v>25</v>
      </c>
      <c r="C295" s="11" t="s">
        <v>12</v>
      </c>
      <c r="D295" s="11" t="s">
        <v>12</v>
      </c>
      <c r="E295" s="11">
        <v>522.23492859232601</v>
      </c>
      <c r="F295" s="12"/>
      <c r="G295" s="12" t="s">
        <v>12</v>
      </c>
      <c r="H295" s="12" t="s">
        <v>12</v>
      </c>
      <c r="I295" s="12" t="s">
        <v>12</v>
      </c>
      <c r="J295" s="12" t="s">
        <v>12</v>
      </c>
      <c r="K295" s="12">
        <v>5</v>
      </c>
      <c r="L295" s="12">
        <v>3.3</v>
      </c>
      <c r="M295" s="12">
        <v>4.5999999999999996</v>
      </c>
      <c r="N295" s="12" t="s">
        <v>12</v>
      </c>
      <c r="O295" s="12">
        <v>15.096503676615599</v>
      </c>
      <c r="P295" s="13" t="s">
        <v>12</v>
      </c>
      <c r="Q295" s="12" t="s">
        <v>12</v>
      </c>
      <c r="R295" s="12" t="s">
        <v>12</v>
      </c>
      <c r="S295" s="12" t="s">
        <v>12</v>
      </c>
      <c r="T295" s="12">
        <v>0</v>
      </c>
      <c r="U295" s="12" t="s">
        <v>129</v>
      </c>
      <c r="V295" s="12"/>
      <c r="W295" s="12"/>
      <c r="X295" s="12"/>
      <c r="Y295" s="12"/>
      <c r="Z295" s="12"/>
    </row>
    <row r="296" spans="1:26" x14ac:dyDescent="0.15">
      <c r="A296" s="5">
        <v>2000</v>
      </c>
      <c r="B296" s="5" t="s">
        <v>26</v>
      </c>
      <c r="C296" s="14" t="s">
        <v>12</v>
      </c>
      <c r="D296" s="14" t="s">
        <v>12</v>
      </c>
      <c r="E296" s="14">
        <v>524.75429869978802</v>
      </c>
      <c r="F296" s="15">
        <v>42.803791786511603</v>
      </c>
      <c r="G296" s="15" t="s">
        <v>12</v>
      </c>
      <c r="H296" s="15" t="s">
        <v>12</v>
      </c>
      <c r="I296" s="15" t="s">
        <v>12</v>
      </c>
      <c r="J296" s="15" t="s">
        <v>12</v>
      </c>
      <c r="K296" s="15">
        <v>4.01213929824275</v>
      </c>
      <c r="L296" s="15">
        <v>3.6863705501410902</v>
      </c>
      <c r="M296" s="15">
        <v>3.8516273480873702</v>
      </c>
      <c r="N296" s="15" t="s">
        <v>12</v>
      </c>
      <c r="O296" s="15">
        <v>21.006435545265798</v>
      </c>
      <c r="P296" s="10" t="s">
        <v>12</v>
      </c>
      <c r="Q296" s="15" t="s">
        <v>12</v>
      </c>
      <c r="R296" s="15" t="s">
        <v>12</v>
      </c>
      <c r="S296" s="15" t="s">
        <v>12</v>
      </c>
      <c r="T296" s="15" t="s">
        <v>125</v>
      </c>
      <c r="U296" s="15" t="s">
        <v>129</v>
      </c>
      <c r="V296" s="15"/>
      <c r="W296" s="15"/>
      <c r="X296" s="15"/>
      <c r="Y296" s="15"/>
      <c r="Z296" s="15"/>
    </row>
    <row r="297" spans="1:26" x14ac:dyDescent="0.15">
      <c r="A297" s="4">
        <v>2000</v>
      </c>
      <c r="B297" s="4" t="s">
        <v>27</v>
      </c>
      <c r="C297" s="11" t="s">
        <v>12</v>
      </c>
      <c r="D297" s="11" t="s">
        <v>12</v>
      </c>
      <c r="E297" s="11">
        <v>458.07108201582298</v>
      </c>
      <c r="F297" s="12">
        <v>50.147735654730198</v>
      </c>
      <c r="G297" s="12" t="s">
        <v>12</v>
      </c>
      <c r="H297" s="12" t="s">
        <v>12</v>
      </c>
      <c r="I297" s="12" t="s">
        <v>12</v>
      </c>
      <c r="J297" s="12" t="s">
        <v>12</v>
      </c>
      <c r="K297" s="12">
        <v>4.7420441320965896</v>
      </c>
      <c r="L297" s="12">
        <v>5.0676985250271702</v>
      </c>
      <c r="M297" s="12">
        <v>4.2457705798340299</v>
      </c>
      <c r="N297" s="12" t="s">
        <v>12</v>
      </c>
      <c r="O297" s="12">
        <v>12</v>
      </c>
      <c r="P297" s="13" t="s">
        <v>12</v>
      </c>
      <c r="Q297" s="12" t="s">
        <v>12</v>
      </c>
      <c r="R297" s="12" t="s">
        <v>12</v>
      </c>
      <c r="S297" s="12" t="s">
        <v>12</v>
      </c>
      <c r="T297" s="12">
        <v>0</v>
      </c>
      <c r="U297" s="12" t="s">
        <v>127</v>
      </c>
      <c r="V297" s="12"/>
      <c r="W297" s="12"/>
      <c r="X297" s="12"/>
      <c r="Y297" s="12"/>
      <c r="Z297" s="12"/>
    </row>
    <row r="298" spans="1:26" x14ac:dyDescent="0.15">
      <c r="A298" s="5">
        <v>2000</v>
      </c>
      <c r="B298" s="5" t="s">
        <v>28</v>
      </c>
      <c r="C298" s="14" t="s">
        <v>12</v>
      </c>
      <c r="D298" s="14" t="s">
        <v>12</v>
      </c>
      <c r="E298" s="14" t="s">
        <v>12</v>
      </c>
      <c r="F298" s="15" t="s">
        <v>12</v>
      </c>
      <c r="G298" s="15" t="s">
        <v>12</v>
      </c>
      <c r="H298" s="15" t="s">
        <v>12</v>
      </c>
      <c r="I298" s="15" t="s">
        <v>12</v>
      </c>
      <c r="J298" s="15" t="s">
        <v>12</v>
      </c>
      <c r="K298" s="15" t="s">
        <v>12</v>
      </c>
      <c r="L298" s="15" t="s">
        <v>12</v>
      </c>
      <c r="M298" s="15" t="s">
        <v>12</v>
      </c>
      <c r="N298" s="15" t="s">
        <v>12</v>
      </c>
      <c r="O298" s="15" t="s">
        <v>12</v>
      </c>
      <c r="P298" s="10" t="s">
        <v>12</v>
      </c>
      <c r="Q298" s="15" t="s">
        <v>12</v>
      </c>
      <c r="R298" s="15" t="s">
        <v>12</v>
      </c>
      <c r="S298" s="15" t="s">
        <v>12</v>
      </c>
      <c r="T298" s="15">
        <v>31.7</v>
      </c>
      <c r="U298" s="15" t="s">
        <v>127</v>
      </c>
      <c r="V298" s="15"/>
      <c r="W298" s="15"/>
      <c r="X298" s="15"/>
      <c r="Y298" s="15"/>
      <c r="Z298" s="15"/>
    </row>
    <row r="299" spans="1:26" x14ac:dyDescent="0.15">
      <c r="A299" s="4">
        <v>2000</v>
      </c>
      <c r="B299" s="4" t="s">
        <v>29</v>
      </c>
      <c r="C299" s="11" t="s">
        <v>12</v>
      </c>
      <c r="D299" s="11" t="s">
        <v>12</v>
      </c>
      <c r="E299" s="11">
        <v>441.24582260618098</v>
      </c>
      <c r="F299" s="12">
        <v>44.785303893121501</v>
      </c>
      <c r="G299" s="12" t="s">
        <v>12</v>
      </c>
      <c r="H299" s="12" t="s">
        <v>12</v>
      </c>
      <c r="I299" s="12" t="s">
        <v>12</v>
      </c>
      <c r="J299" s="12" t="s">
        <v>12</v>
      </c>
      <c r="K299" s="12">
        <v>4.03820398088099</v>
      </c>
      <c r="L299" s="12">
        <v>3.1442886408703901</v>
      </c>
      <c r="M299" s="12">
        <v>3.29697413515792</v>
      </c>
      <c r="N299" s="12" t="s">
        <v>12</v>
      </c>
      <c r="O299" s="12">
        <v>9.4165142856629895</v>
      </c>
      <c r="P299" s="13" t="s">
        <v>12</v>
      </c>
      <c r="Q299" s="12" t="s">
        <v>12</v>
      </c>
      <c r="R299" s="12" t="s">
        <v>12</v>
      </c>
      <c r="S299" s="12" t="s">
        <v>12</v>
      </c>
      <c r="T299" s="12">
        <v>30.1</v>
      </c>
      <c r="U299" s="12" t="s">
        <v>127</v>
      </c>
      <c r="V299" s="12"/>
      <c r="W299" s="12"/>
      <c r="X299" s="12"/>
      <c r="Y299" s="12"/>
      <c r="Z299" s="12"/>
    </row>
    <row r="300" spans="1:26" x14ac:dyDescent="0.15">
      <c r="A300" s="5">
        <v>2000</v>
      </c>
      <c r="B300" s="5" t="s">
        <v>30</v>
      </c>
      <c r="C300" s="14" t="s">
        <v>12</v>
      </c>
      <c r="D300" s="14" t="s">
        <v>12</v>
      </c>
      <c r="E300" s="14">
        <v>421.96063013990198</v>
      </c>
      <c r="F300" s="15">
        <v>42.482574380902001</v>
      </c>
      <c r="G300" s="15" t="s">
        <v>12</v>
      </c>
      <c r="H300" s="15" t="s">
        <v>12</v>
      </c>
      <c r="I300" s="15" t="s">
        <v>12</v>
      </c>
      <c r="J300" s="15" t="s">
        <v>12</v>
      </c>
      <c r="K300" s="15">
        <v>4.59343867390014</v>
      </c>
      <c r="L300" s="15">
        <v>6.1</v>
      </c>
      <c r="M300" s="15">
        <v>4.1924934373598202</v>
      </c>
      <c r="N300" s="15" t="s">
        <v>12</v>
      </c>
      <c r="O300" s="15">
        <v>27</v>
      </c>
      <c r="P300" s="10" t="s">
        <v>12</v>
      </c>
      <c r="Q300" s="15" t="s">
        <v>12</v>
      </c>
      <c r="R300" s="15" t="s">
        <v>12</v>
      </c>
      <c r="S300" s="15" t="s">
        <v>12</v>
      </c>
      <c r="T300" s="15">
        <v>53.4</v>
      </c>
      <c r="U300" s="15" t="s">
        <v>128</v>
      </c>
      <c r="V300" s="15"/>
      <c r="W300" s="15"/>
      <c r="X300" s="15"/>
      <c r="Y300" s="15"/>
      <c r="Z300" s="15"/>
    </row>
    <row r="301" spans="1:26" x14ac:dyDescent="0.15">
      <c r="A301" s="4">
        <v>2000</v>
      </c>
      <c r="B301" s="4" t="s">
        <v>31</v>
      </c>
      <c r="C301" s="11" t="s">
        <v>12</v>
      </c>
      <c r="D301" s="11" t="s">
        <v>12</v>
      </c>
      <c r="E301" s="11"/>
      <c r="F301" s="12"/>
      <c r="G301" s="12" t="s">
        <v>12</v>
      </c>
      <c r="H301" s="12" t="s">
        <v>12</v>
      </c>
      <c r="I301" s="12" t="s">
        <v>12</v>
      </c>
      <c r="J301" s="12" t="s">
        <v>12</v>
      </c>
      <c r="K301" s="12"/>
      <c r="L301" s="12"/>
      <c r="M301" s="12"/>
      <c r="N301" s="12" t="s">
        <v>12</v>
      </c>
      <c r="O301" s="12"/>
      <c r="P301" s="13" t="s">
        <v>12</v>
      </c>
      <c r="Q301" s="12" t="s">
        <v>12</v>
      </c>
      <c r="R301" s="12" t="s">
        <v>12</v>
      </c>
      <c r="S301" s="12" t="s">
        <v>12</v>
      </c>
      <c r="T301" s="12">
        <v>0</v>
      </c>
      <c r="U301" s="12" t="s">
        <v>127</v>
      </c>
      <c r="V301" s="12"/>
      <c r="W301" s="12"/>
      <c r="X301" s="12"/>
      <c r="Y301" s="12"/>
      <c r="Z301" s="12"/>
    </row>
    <row r="302" spans="1:26" x14ac:dyDescent="0.15">
      <c r="A302" s="5">
        <v>2000</v>
      </c>
      <c r="B302" s="5" t="s">
        <v>32</v>
      </c>
      <c r="C302" s="14" t="s">
        <v>12</v>
      </c>
      <c r="D302" s="14" t="s">
        <v>12</v>
      </c>
      <c r="E302" s="14">
        <v>528.79973199073504</v>
      </c>
      <c r="F302" s="15">
        <v>52.199971878049098</v>
      </c>
      <c r="G302" s="15" t="s">
        <v>12</v>
      </c>
      <c r="H302" s="15" t="s">
        <v>12</v>
      </c>
      <c r="I302" s="15" t="s">
        <v>12</v>
      </c>
      <c r="J302" s="15" t="s">
        <v>12</v>
      </c>
      <c r="K302" s="15">
        <v>4.3340410686001398</v>
      </c>
      <c r="L302" s="15">
        <v>4.6228455541573101</v>
      </c>
      <c r="M302" s="15">
        <v>4.3374850262128097</v>
      </c>
      <c r="N302" s="15" t="s">
        <v>12</v>
      </c>
      <c r="O302" s="15">
        <v>12.495472339155</v>
      </c>
      <c r="P302" s="10" t="s">
        <v>12</v>
      </c>
      <c r="Q302" s="15" t="s">
        <v>12</v>
      </c>
      <c r="R302" s="15" t="s">
        <v>12</v>
      </c>
      <c r="S302" s="15" t="s">
        <v>12</v>
      </c>
      <c r="T302" s="15">
        <v>0</v>
      </c>
      <c r="U302" s="15" t="s">
        <v>130</v>
      </c>
      <c r="V302" s="15"/>
      <c r="W302" s="15"/>
      <c r="X302" s="15"/>
      <c r="Y302" s="15"/>
      <c r="Z302" s="15"/>
    </row>
    <row r="303" spans="1:26" x14ac:dyDescent="0.15">
      <c r="A303" s="4">
        <v>2000</v>
      </c>
      <c r="B303" s="4" t="s">
        <v>33</v>
      </c>
      <c r="C303" s="11" t="s">
        <v>12</v>
      </c>
      <c r="D303" s="11" t="s">
        <v>12</v>
      </c>
      <c r="E303" s="11">
        <v>505.28098857243702</v>
      </c>
      <c r="F303" s="12">
        <v>53.908833178723</v>
      </c>
      <c r="G303" s="12" t="s">
        <v>12</v>
      </c>
      <c r="H303" s="12" t="s">
        <v>12</v>
      </c>
      <c r="I303" s="12" t="s">
        <v>12</v>
      </c>
      <c r="J303" s="12" t="s">
        <v>12</v>
      </c>
      <c r="K303" s="12">
        <v>4</v>
      </c>
      <c r="L303" s="12">
        <v>2.8</v>
      </c>
      <c r="M303" s="12">
        <v>4.4000000000000004</v>
      </c>
      <c r="N303" s="12" t="s">
        <v>12</v>
      </c>
      <c r="O303" s="12">
        <v>9.0175730467434292</v>
      </c>
      <c r="P303" s="13" t="s">
        <v>12</v>
      </c>
      <c r="Q303" s="12" t="s">
        <v>12</v>
      </c>
      <c r="R303" s="12" t="s">
        <v>12</v>
      </c>
      <c r="S303" s="12" t="s">
        <v>12</v>
      </c>
      <c r="T303" s="12">
        <v>27.4</v>
      </c>
      <c r="U303" s="12" t="s">
        <v>127</v>
      </c>
      <c r="V303" s="12"/>
      <c r="W303" s="12"/>
      <c r="X303" s="12"/>
      <c r="Y303" s="12"/>
      <c r="Z303" s="12"/>
    </row>
    <row r="304" spans="1:26" x14ac:dyDescent="0.15">
      <c r="A304" s="5">
        <v>2000</v>
      </c>
      <c r="B304" s="5" t="s">
        <v>34</v>
      </c>
      <c r="C304" s="14" t="s">
        <v>12</v>
      </c>
      <c r="D304" s="14" t="s">
        <v>12</v>
      </c>
      <c r="E304" s="14">
        <v>479.12168786049</v>
      </c>
      <c r="F304" s="15">
        <v>46.029597048195697</v>
      </c>
      <c r="G304" s="15" t="s">
        <v>12</v>
      </c>
      <c r="H304" s="15" t="s">
        <v>12</v>
      </c>
      <c r="I304" s="15" t="s">
        <v>12</v>
      </c>
      <c r="J304" s="15" t="s">
        <v>12</v>
      </c>
      <c r="K304" s="15">
        <v>2.9668016040293299</v>
      </c>
      <c r="L304" s="15">
        <v>4.7943516413602403</v>
      </c>
      <c r="M304" s="15">
        <v>3.7628119552185901</v>
      </c>
      <c r="N304" s="15" t="s">
        <v>12</v>
      </c>
      <c r="O304" s="15">
        <v>12.585948193373699</v>
      </c>
      <c r="P304" s="10" t="s">
        <v>12</v>
      </c>
      <c r="Q304" s="15" t="s">
        <v>12</v>
      </c>
      <c r="R304" s="15" t="s">
        <v>12</v>
      </c>
      <c r="S304" s="15" t="s">
        <v>12</v>
      </c>
      <c r="T304" s="15">
        <v>33</v>
      </c>
      <c r="U304" s="15" t="s">
        <v>127</v>
      </c>
      <c r="V304" s="15"/>
      <c r="W304" s="15"/>
      <c r="X304" s="15"/>
      <c r="Y304" s="15"/>
      <c r="Z304" s="15"/>
    </row>
    <row r="305" spans="1:26" x14ac:dyDescent="0.15">
      <c r="A305" s="4">
        <v>2000</v>
      </c>
      <c r="B305" s="4" t="s">
        <v>35</v>
      </c>
      <c r="C305" s="11" t="s">
        <v>12</v>
      </c>
      <c r="D305" s="11" t="s">
        <v>12</v>
      </c>
      <c r="E305" s="11">
        <v>470.154622154989</v>
      </c>
      <c r="F305" s="12">
        <v>43.847089183123003</v>
      </c>
      <c r="G305" s="12" t="s">
        <v>12</v>
      </c>
      <c r="H305" s="12" t="s">
        <v>12</v>
      </c>
      <c r="I305" s="12" t="s">
        <v>12</v>
      </c>
      <c r="J305" s="12" t="s">
        <v>12</v>
      </c>
      <c r="K305" s="12">
        <v>3.7113692701694898</v>
      </c>
      <c r="L305" s="12">
        <v>4.7</v>
      </c>
      <c r="M305" s="12">
        <v>3.4946416008332002</v>
      </c>
      <c r="N305" s="12" t="s">
        <v>12</v>
      </c>
      <c r="O305" s="12">
        <v>8.8945068704734194</v>
      </c>
      <c r="P305" s="13" t="s">
        <v>12</v>
      </c>
      <c r="Q305" s="12" t="s">
        <v>12</v>
      </c>
      <c r="R305" s="12" t="s">
        <v>12</v>
      </c>
      <c r="S305" s="12" t="s">
        <v>12</v>
      </c>
      <c r="T305" s="12">
        <v>0</v>
      </c>
      <c r="U305" s="12" t="s">
        <v>127</v>
      </c>
      <c r="V305" s="12"/>
      <c r="W305" s="12"/>
      <c r="X305" s="12"/>
      <c r="Y305" s="12"/>
      <c r="Z305" s="12"/>
    </row>
    <row r="306" spans="1:26" x14ac:dyDescent="0.15">
      <c r="A306" s="5">
        <v>2000</v>
      </c>
      <c r="B306" s="5" t="s">
        <v>36</v>
      </c>
      <c r="C306" s="14" t="s">
        <v>12</v>
      </c>
      <c r="D306" s="14" t="s">
        <v>12</v>
      </c>
      <c r="E306" s="14" t="s">
        <v>12</v>
      </c>
      <c r="F306" s="15" t="s">
        <v>12</v>
      </c>
      <c r="G306" s="15" t="s">
        <v>12</v>
      </c>
      <c r="H306" s="15" t="s">
        <v>12</v>
      </c>
      <c r="I306" s="15" t="s">
        <v>12</v>
      </c>
      <c r="J306" s="15" t="s">
        <v>12</v>
      </c>
      <c r="K306" s="15" t="s">
        <v>12</v>
      </c>
      <c r="L306" s="15" t="s">
        <v>12</v>
      </c>
      <c r="M306" s="15" t="s">
        <v>12</v>
      </c>
      <c r="N306" s="15" t="s">
        <v>12</v>
      </c>
      <c r="O306" s="15" t="s">
        <v>12</v>
      </c>
      <c r="P306" s="10" t="s">
        <v>12</v>
      </c>
      <c r="Q306" s="15" t="s">
        <v>12</v>
      </c>
      <c r="R306" s="15" t="s">
        <v>12</v>
      </c>
      <c r="S306" s="15" t="s">
        <v>12</v>
      </c>
      <c r="T306" s="15" t="s">
        <v>125</v>
      </c>
      <c r="U306" s="15" t="s">
        <v>127</v>
      </c>
      <c r="V306" s="15"/>
      <c r="W306" s="15"/>
      <c r="X306" s="15"/>
      <c r="Y306" s="15"/>
      <c r="Z306" s="15"/>
    </row>
    <row r="307" spans="1:26" x14ac:dyDescent="0.15">
      <c r="A307" s="4">
        <v>2000</v>
      </c>
      <c r="B307" s="4" t="s">
        <v>37</v>
      </c>
      <c r="C307" s="11" t="s">
        <v>12</v>
      </c>
      <c r="D307" s="11" t="s">
        <v>12</v>
      </c>
      <c r="E307" s="11" t="s">
        <v>12</v>
      </c>
      <c r="F307" s="12" t="s">
        <v>12</v>
      </c>
      <c r="G307" s="12" t="s">
        <v>12</v>
      </c>
      <c r="H307" s="12" t="s">
        <v>12</v>
      </c>
      <c r="I307" s="12" t="s">
        <v>12</v>
      </c>
      <c r="J307" s="12" t="s">
        <v>12</v>
      </c>
      <c r="K307" s="12" t="s">
        <v>12</v>
      </c>
      <c r="L307" s="12" t="s">
        <v>12</v>
      </c>
      <c r="M307" s="12" t="s">
        <v>12</v>
      </c>
      <c r="N307" s="12" t="s">
        <v>12</v>
      </c>
      <c r="O307" s="12" t="s">
        <v>12</v>
      </c>
      <c r="P307" s="13" t="s">
        <v>12</v>
      </c>
      <c r="Q307" s="12" t="s">
        <v>12</v>
      </c>
      <c r="R307" s="12" t="s">
        <v>12</v>
      </c>
      <c r="S307" s="12" t="s">
        <v>12</v>
      </c>
      <c r="T307" s="12">
        <v>0</v>
      </c>
      <c r="U307" s="12" t="s">
        <v>127</v>
      </c>
      <c r="V307" s="12"/>
      <c r="W307" s="12"/>
      <c r="X307" s="12"/>
      <c r="Y307" s="12"/>
      <c r="Z307" s="12"/>
    </row>
    <row r="308" spans="1:26" x14ac:dyDescent="0.15">
      <c r="A308" s="5">
        <v>2000</v>
      </c>
      <c r="B308" s="5" t="s">
        <v>38</v>
      </c>
      <c r="C308" s="14" t="s">
        <v>12</v>
      </c>
      <c r="D308" s="14" t="s">
        <v>12</v>
      </c>
      <c r="E308" s="14">
        <v>492.552969076338</v>
      </c>
      <c r="F308" s="15">
        <v>44.991328830997901</v>
      </c>
      <c r="G308" s="15" t="s">
        <v>12</v>
      </c>
      <c r="H308" s="15" t="s">
        <v>12</v>
      </c>
      <c r="I308" s="15" t="s">
        <v>12</v>
      </c>
      <c r="J308" s="15" t="s">
        <v>12</v>
      </c>
      <c r="K308" s="15">
        <v>3.1150792991082001</v>
      </c>
      <c r="L308" s="15">
        <v>3.3581968968682401</v>
      </c>
      <c r="M308" s="15">
        <v>3.35168546399859</v>
      </c>
      <c r="N308" s="15" t="s">
        <v>12</v>
      </c>
      <c r="O308" s="15">
        <v>14.8158794159087</v>
      </c>
      <c r="P308" s="10" t="s">
        <v>12</v>
      </c>
      <c r="Q308" s="15" t="s">
        <v>12</v>
      </c>
      <c r="R308" s="15" t="s">
        <v>12</v>
      </c>
      <c r="S308" s="15" t="s">
        <v>12</v>
      </c>
      <c r="T308" s="15">
        <v>34.1</v>
      </c>
      <c r="U308" s="15" t="s">
        <v>127</v>
      </c>
      <c r="V308" s="15"/>
      <c r="W308" s="15"/>
      <c r="X308" s="15"/>
      <c r="Y308" s="15"/>
      <c r="Z308" s="15"/>
    </row>
    <row r="309" spans="1:26" x14ac:dyDescent="0.15">
      <c r="A309" s="4">
        <v>2000</v>
      </c>
      <c r="B309" s="4" t="s">
        <v>39</v>
      </c>
      <c r="C309" s="11" t="s">
        <v>12</v>
      </c>
      <c r="D309" s="11" t="s">
        <v>12</v>
      </c>
      <c r="E309" s="11">
        <v>516.33118578200697</v>
      </c>
      <c r="F309" s="12">
        <v>50.568693516118003</v>
      </c>
      <c r="G309" s="12" t="s">
        <v>12</v>
      </c>
      <c r="H309" s="12" t="s">
        <v>12</v>
      </c>
      <c r="I309" s="12" t="s">
        <v>12</v>
      </c>
      <c r="J309" s="12" t="s">
        <v>12</v>
      </c>
      <c r="K309" s="12">
        <v>3.1805792075205299</v>
      </c>
      <c r="L309" s="12">
        <v>3.1958743293663399</v>
      </c>
      <c r="M309" s="12">
        <v>3.0340799823492399</v>
      </c>
      <c r="N309" s="12" t="s">
        <v>12</v>
      </c>
      <c r="O309" s="12">
        <v>12.646524031203001</v>
      </c>
      <c r="P309" s="13" t="s">
        <v>12</v>
      </c>
      <c r="Q309" s="12" t="s">
        <v>12</v>
      </c>
      <c r="R309" s="12" t="s">
        <v>12</v>
      </c>
      <c r="S309" s="12" t="s">
        <v>12</v>
      </c>
      <c r="T309" s="12">
        <v>27</v>
      </c>
      <c r="U309" s="12" t="s">
        <v>127</v>
      </c>
      <c r="V309" s="12"/>
      <c r="W309" s="12"/>
      <c r="X309" s="12"/>
      <c r="Y309" s="12"/>
      <c r="Z309" s="12"/>
    </row>
    <row r="310" spans="1:26" x14ac:dyDescent="0.15">
      <c r="A310" s="5">
        <v>2000</v>
      </c>
      <c r="B310" s="5" t="s">
        <v>40</v>
      </c>
      <c r="C310" s="14" t="s">
        <v>12</v>
      </c>
      <c r="D310" s="14" t="s">
        <v>12</v>
      </c>
      <c r="E310" s="14">
        <v>494.37161887512502</v>
      </c>
      <c r="F310" s="15">
        <v>49.209639232181097</v>
      </c>
      <c r="G310" s="15" t="s">
        <v>12</v>
      </c>
      <c r="H310" s="15" t="s">
        <v>12</v>
      </c>
      <c r="I310" s="15" t="s">
        <v>12</v>
      </c>
      <c r="J310" s="15" t="s">
        <v>12</v>
      </c>
      <c r="K310" s="15">
        <v>4.7891102041770797</v>
      </c>
      <c r="L310" s="15">
        <v>3.5305439044284999</v>
      </c>
      <c r="M310" s="15">
        <v>4.6187014767444703</v>
      </c>
      <c r="N310" s="15" t="s">
        <v>12</v>
      </c>
      <c r="O310" s="15">
        <v>12.1176984469527</v>
      </c>
      <c r="P310" s="10" t="s">
        <v>12</v>
      </c>
      <c r="Q310" s="15" t="s">
        <v>12</v>
      </c>
      <c r="R310" s="15" t="s">
        <v>12</v>
      </c>
      <c r="S310" s="15" t="s">
        <v>12</v>
      </c>
      <c r="T310" s="15">
        <v>33.4</v>
      </c>
      <c r="U310" s="15" t="s">
        <v>127</v>
      </c>
      <c r="V310" s="15"/>
      <c r="W310" s="15"/>
      <c r="X310" s="15"/>
      <c r="Y310" s="15"/>
      <c r="Z310" s="15"/>
    </row>
    <row r="311" spans="1:26" x14ac:dyDescent="0.15">
      <c r="A311" s="4">
        <v>2000</v>
      </c>
      <c r="B311" s="4" t="s">
        <v>41</v>
      </c>
      <c r="C311" s="11" t="s">
        <v>12</v>
      </c>
      <c r="D311" s="11" t="s">
        <v>12</v>
      </c>
      <c r="E311" s="11" t="s">
        <v>12</v>
      </c>
      <c r="F311" s="12" t="s">
        <v>12</v>
      </c>
      <c r="G311" s="12" t="s">
        <v>12</v>
      </c>
      <c r="H311" s="12" t="s">
        <v>12</v>
      </c>
      <c r="I311" s="12" t="s">
        <v>12</v>
      </c>
      <c r="J311" s="12" t="s">
        <v>12</v>
      </c>
      <c r="K311" s="12" t="s">
        <v>12</v>
      </c>
      <c r="L311" s="12" t="s">
        <v>12</v>
      </c>
      <c r="M311" s="12" t="s">
        <v>12</v>
      </c>
      <c r="N311" s="12" t="s">
        <v>12</v>
      </c>
      <c r="O311" s="12" t="s">
        <v>12</v>
      </c>
      <c r="P311" s="13" t="s">
        <v>12</v>
      </c>
      <c r="Q311" s="12" t="s">
        <v>12</v>
      </c>
      <c r="R311" s="12" t="s">
        <v>12</v>
      </c>
      <c r="S311" s="12" t="s">
        <v>12</v>
      </c>
      <c r="T311" s="12">
        <v>0</v>
      </c>
      <c r="U311" s="12" t="s">
        <v>132</v>
      </c>
      <c r="V311" s="12"/>
      <c r="W311" s="12"/>
      <c r="X311" s="12"/>
      <c r="Y311" s="12"/>
      <c r="Z311" s="12"/>
    </row>
    <row r="312" spans="1:26" x14ac:dyDescent="0.15">
      <c r="A312" s="5">
        <v>2000</v>
      </c>
      <c r="B312" s="5" t="s">
        <v>42</v>
      </c>
      <c r="C312" s="14" t="s">
        <v>12</v>
      </c>
      <c r="D312" s="14" t="s">
        <v>12</v>
      </c>
      <c r="E312" s="14">
        <v>523.44330365508802</v>
      </c>
      <c r="F312" s="15">
        <v>51.258107745447703</v>
      </c>
      <c r="G312" s="15" t="s">
        <v>12</v>
      </c>
      <c r="H312" s="15" t="s">
        <v>12</v>
      </c>
      <c r="I312" s="15" t="s">
        <v>12</v>
      </c>
      <c r="J312" s="15" t="s">
        <v>12</v>
      </c>
      <c r="K312" s="15">
        <v>3.9401952022931401</v>
      </c>
      <c r="L312" s="15">
        <v>5.6618373494447303</v>
      </c>
      <c r="M312" s="15">
        <v>4.1756321650581798</v>
      </c>
      <c r="N312" s="15" t="s">
        <v>12</v>
      </c>
      <c r="O312" s="15">
        <v>16.077981481718499</v>
      </c>
      <c r="P312" s="10" t="s">
        <v>12</v>
      </c>
      <c r="Q312" s="15" t="s">
        <v>12</v>
      </c>
      <c r="R312" s="15" t="s">
        <v>12</v>
      </c>
      <c r="S312" s="15" t="s">
        <v>12</v>
      </c>
      <c r="T312" s="15">
        <v>38.799999999999997</v>
      </c>
      <c r="U312" s="15" t="s">
        <v>127</v>
      </c>
      <c r="V312" s="15"/>
      <c r="W312" s="15"/>
      <c r="X312" s="15"/>
      <c r="Y312" s="15"/>
      <c r="Z312" s="15"/>
    </row>
    <row r="313" spans="1:26" x14ac:dyDescent="0.15">
      <c r="A313" s="4">
        <v>2000</v>
      </c>
      <c r="B313" s="4" t="s">
        <v>43</v>
      </c>
      <c r="C313" s="11" t="s">
        <v>12</v>
      </c>
      <c r="D313" s="11" t="s">
        <v>12</v>
      </c>
      <c r="E313" s="11">
        <v>504.41969157489302</v>
      </c>
      <c r="F313" s="12">
        <v>52.403824133357098</v>
      </c>
      <c r="G313" s="12" t="s">
        <v>12</v>
      </c>
      <c r="H313" s="12" t="s">
        <v>12</v>
      </c>
      <c r="I313" s="12" t="s">
        <v>12</v>
      </c>
      <c r="J313" s="12" t="s">
        <v>12</v>
      </c>
      <c r="K313" s="12">
        <v>3.4204092835467699</v>
      </c>
      <c r="L313" s="12">
        <v>3.3283908112716398</v>
      </c>
      <c r="M313" s="12">
        <v>3.3928307414154499</v>
      </c>
      <c r="N313" s="12" t="s">
        <v>12</v>
      </c>
      <c r="O313" s="12">
        <v>15</v>
      </c>
      <c r="P313" s="13" t="s">
        <v>12</v>
      </c>
      <c r="Q313" s="12" t="s">
        <v>12</v>
      </c>
      <c r="R313" s="12" t="s">
        <v>12</v>
      </c>
      <c r="S313" s="12" t="s">
        <v>12</v>
      </c>
      <c r="T313" s="12">
        <v>40.1</v>
      </c>
      <c r="U313" s="12" t="s">
        <v>128</v>
      </c>
      <c r="V313" s="12"/>
      <c r="W313" s="12"/>
      <c r="X313" s="12"/>
      <c r="Y313" s="12"/>
      <c r="Z313" s="12"/>
    </row>
  </sheetData>
  <autoFilter ref="A1:W1" xr:uid="{933B6F30-8875-1643-89E7-7BC82EBB4668}"/>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82EC-8518-034E-80CA-63ABE73581A0}">
  <dimension ref="A1:C12"/>
  <sheetViews>
    <sheetView workbookViewId="0">
      <selection activeCell="D21" sqref="D21"/>
    </sheetView>
  </sheetViews>
  <sheetFormatPr baseColWidth="10" defaultRowHeight="13" x14ac:dyDescent="0.15"/>
  <cols>
    <col min="1" max="1" width="12.6640625" bestFit="1" customWidth="1"/>
    <col min="2" max="2" width="32.33203125" bestFit="1" customWidth="1"/>
    <col min="3" max="3" width="37.6640625" bestFit="1" customWidth="1"/>
    <col min="4" max="5" width="57.33203125" bestFit="1" customWidth="1"/>
  </cols>
  <sheetData>
    <row r="1" spans="1:3" x14ac:dyDescent="0.15">
      <c r="A1" s="17" t="s">
        <v>2</v>
      </c>
      <c r="B1" t="s">
        <v>17</v>
      </c>
    </row>
    <row r="3" spans="1:3" x14ac:dyDescent="0.15">
      <c r="A3" s="17" t="s">
        <v>1</v>
      </c>
      <c r="B3" t="s">
        <v>197</v>
      </c>
      <c r="C3" t="s">
        <v>198</v>
      </c>
    </row>
    <row r="4" spans="1:3" x14ac:dyDescent="0.15">
      <c r="A4">
        <v>2000</v>
      </c>
      <c r="B4">
        <v>0</v>
      </c>
      <c r="C4">
        <v>48.265041411429301</v>
      </c>
    </row>
    <row r="5" spans="1:3" x14ac:dyDescent="0.15">
      <c r="A5">
        <v>2003</v>
      </c>
      <c r="B5">
        <v>0</v>
      </c>
      <c r="C5">
        <v>48.659709545128003</v>
      </c>
    </row>
    <row r="6" spans="1:3" x14ac:dyDescent="0.15">
      <c r="A6">
        <v>2006</v>
      </c>
      <c r="B6">
        <v>0</v>
      </c>
      <c r="C6">
        <v>48.637807592644002</v>
      </c>
    </row>
    <row r="7" spans="1:3" x14ac:dyDescent="0.15">
      <c r="A7">
        <v>2009</v>
      </c>
      <c r="B7">
        <v>0</v>
      </c>
      <c r="C7">
        <v>46.906422540030199</v>
      </c>
    </row>
    <row r="8" spans="1:3" x14ac:dyDescent="0.15">
      <c r="A8">
        <v>2012</v>
      </c>
      <c r="B8">
        <v>0</v>
      </c>
      <c r="C8">
        <v>51.837688565153201</v>
      </c>
    </row>
    <row r="9" spans="1:3" x14ac:dyDescent="0.15">
      <c r="A9">
        <v>2015</v>
      </c>
      <c r="B9">
        <v>0</v>
      </c>
      <c r="C9">
        <v>51.308749358400902</v>
      </c>
    </row>
    <row r="10" spans="1:3" x14ac:dyDescent="0.15">
      <c r="A10">
        <v>2018</v>
      </c>
      <c r="B10">
        <v>0</v>
      </c>
      <c r="C10">
        <v>51.481305041029898</v>
      </c>
    </row>
    <row r="11" spans="1:3" x14ac:dyDescent="0.15">
      <c r="A11">
        <v>2022</v>
      </c>
      <c r="B11">
        <v>0</v>
      </c>
      <c r="C11">
        <v>53.075123600931697</v>
      </c>
    </row>
    <row r="12" spans="1:3" x14ac:dyDescent="0.15">
      <c r="A12" t="s">
        <v>83</v>
      </c>
      <c r="B12">
        <v>0</v>
      </c>
      <c r="C12">
        <v>400.17184765474718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15B9-7B2D-9545-A70B-9607D0E9A537}">
  <sheetPr codeName="Feuil2"/>
  <dimension ref="A1:A15"/>
  <sheetViews>
    <sheetView workbookViewId="0">
      <selection sqref="A1:A15"/>
    </sheetView>
  </sheetViews>
  <sheetFormatPr baseColWidth="10" defaultRowHeight="13" x14ac:dyDescent="0.15"/>
  <sheetData>
    <row r="1" spans="1:1" x14ac:dyDescent="0.15">
      <c r="A1" s="1" t="s">
        <v>0</v>
      </c>
    </row>
    <row r="2" spans="1:1" x14ac:dyDescent="0.15">
      <c r="A2" s="1" t="s">
        <v>51</v>
      </c>
    </row>
    <row r="3" spans="1:1" x14ac:dyDescent="0.15">
      <c r="A3" s="1" t="s">
        <v>52</v>
      </c>
    </row>
    <row r="4" spans="1:1" x14ac:dyDescent="0.15">
      <c r="A4" s="1" t="s">
        <v>53</v>
      </c>
    </row>
    <row r="5" spans="1:1" x14ac:dyDescent="0.15">
      <c r="A5" s="1" t="s">
        <v>54</v>
      </c>
    </row>
    <row r="6" spans="1:1" x14ac:dyDescent="0.15">
      <c r="A6" s="1" t="s">
        <v>55</v>
      </c>
    </row>
    <row r="7" spans="1:1" x14ac:dyDescent="0.15">
      <c r="A7" s="1" t="s">
        <v>56</v>
      </c>
    </row>
    <row r="8" spans="1:1" x14ac:dyDescent="0.15">
      <c r="A8" s="1" t="s">
        <v>57</v>
      </c>
    </row>
    <row r="9" spans="1:1" x14ac:dyDescent="0.15">
      <c r="A9" s="1" t="s">
        <v>58</v>
      </c>
    </row>
    <row r="10" spans="1:1" x14ac:dyDescent="0.15">
      <c r="A10" s="1" t="s">
        <v>59</v>
      </c>
    </row>
    <row r="11" spans="1:1" x14ac:dyDescent="0.15">
      <c r="A11" s="1" t="s">
        <v>60</v>
      </c>
    </row>
    <row r="12" spans="1:1" x14ac:dyDescent="0.15">
      <c r="A12" s="1" t="s">
        <v>61</v>
      </c>
    </row>
    <row r="13" spans="1:1" x14ac:dyDescent="0.15">
      <c r="A13" s="1" t="s">
        <v>62</v>
      </c>
    </row>
    <row r="14" spans="1:1" x14ac:dyDescent="0.15">
      <c r="A14" s="1" t="s">
        <v>63</v>
      </c>
    </row>
    <row r="15" spans="1:1" x14ac:dyDescent="0.15">
      <c r="A15" s="1"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B802-7819-3449-9967-6C263E8BF5D9}">
  <sheetPr codeName="Feuil3"/>
  <dimension ref="A1:C39"/>
  <sheetViews>
    <sheetView workbookViewId="0">
      <selection activeCell="B4" sqref="B4"/>
    </sheetView>
  </sheetViews>
  <sheetFormatPr baseColWidth="10" defaultRowHeight="13" x14ac:dyDescent="0.15"/>
  <cols>
    <col min="1" max="1" width="29.1640625" bestFit="1" customWidth="1"/>
  </cols>
  <sheetData>
    <row r="1" spans="1:3" x14ac:dyDescent="0.15">
      <c r="A1" t="s">
        <v>133</v>
      </c>
      <c r="B1" t="s">
        <v>134</v>
      </c>
      <c r="C1" t="s">
        <v>135</v>
      </c>
    </row>
    <row r="2" spans="1:3" x14ac:dyDescent="0.15">
      <c r="A2" t="s">
        <v>17</v>
      </c>
      <c r="B2" t="s">
        <v>17</v>
      </c>
      <c r="C2" t="s">
        <v>127</v>
      </c>
    </row>
    <row r="3" spans="1:3" x14ac:dyDescent="0.15">
      <c r="A3" t="s">
        <v>97</v>
      </c>
      <c r="B3" t="s">
        <v>18</v>
      </c>
      <c r="C3" t="s">
        <v>127</v>
      </c>
    </row>
    <row r="4" spans="1:3" x14ac:dyDescent="0.15">
      <c r="A4" t="s">
        <v>120</v>
      </c>
      <c r="B4" t="s">
        <v>43</v>
      </c>
      <c r="C4" t="s">
        <v>128</v>
      </c>
    </row>
    <row r="5" spans="1:3" x14ac:dyDescent="0.15">
      <c r="A5" t="s">
        <v>102</v>
      </c>
      <c r="B5" t="s">
        <v>42</v>
      </c>
      <c r="C5" t="s">
        <v>127</v>
      </c>
    </row>
    <row r="6" spans="1:3" x14ac:dyDescent="0.15">
      <c r="A6" t="s">
        <v>108</v>
      </c>
      <c r="B6" t="s">
        <v>24</v>
      </c>
      <c r="C6" t="s">
        <v>127</v>
      </c>
    </row>
    <row r="7" spans="1:3" x14ac:dyDescent="0.15">
      <c r="A7" t="s">
        <v>99</v>
      </c>
      <c r="B7" t="s">
        <v>38</v>
      </c>
      <c r="C7" t="s">
        <v>127</v>
      </c>
    </row>
    <row r="8" spans="1:3" x14ac:dyDescent="0.15">
      <c r="A8" t="s">
        <v>35</v>
      </c>
      <c r="B8" t="s">
        <v>35</v>
      </c>
      <c r="C8" t="s">
        <v>127</v>
      </c>
    </row>
    <row r="9" spans="1:3" x14ac:dyDescent="0.15">
      <c r="A9" t="s">
        <v>94</v>
      </c>
      <c r="B9" t="s">
        <v>40</v>
      </c>
      <c r="C9" t="s">
        <v>127</v>
      </c>
    </row>
    <row r="10" spans="1:3" x14ac:dyDescent="0.15">
      <c r="A10" t="s">
        <v>93</v>
      </c>
      <c r="B10" t="s">
        <v>7</v>
      </c>
      <c r="C10" t="s">
        <v>127</v>
      </c>
    </row>
    <row r="11" spans="1:3" x14ac:dyDescent="0.15">
      <c r="A11" t="s">
        <v>113</v>
      </c>
      <c r="B11" t="s">
        <v>31</v>
      </c>
      <c r="C11" t="s">
        <v>127</v>
      </c>
    </row>
    <row r="12" spans="1:3" x14ac:dyDescent="0.15">
      <c r="A12" t="s">
        <v>92</v>
      </c>
      <c r="B12" t="s">
        <v>6</v>
      </c>
      <c r="C12" t="s">
        <v>127</v>
      </c>
    </row>
    <row r="13" spans="1:3" x14ac:dyDescent="0.15">
      <c r="A13" t="s">
        <v>105</v>
      </c>
      <c r="B13" t="s">
        <v>22</v>
      </c>
      <c r="C13" t="s">
        <v>127</v>
      </c>
    </row>
    <row r="14" spans="1:3" x14ac:dyDescent="0.15">
      <c r="A14" t="s">
        <v>98</v>
      </c>
      <c r="B14" t="s">
        <v>14</v>
      </c>
      <c r="C14" t="s">
        <v>127</v>
      </c>
    </row>
    <row r="15" spans="1:3" x14ac:dyDescent="0.15">
      <c r="A15" t="s">
        <v>118</v>
      </c>
      <c r="B15" t="s">
        <v>39</v>
      </c>
      <c r="C15" t="s">
        <v>127</v>
      </c>
    </row>
    <row r="16" spans="1:3" x14ac:dyDescent="0.15">
      <c r="A16" t="s">
        <v>101</v>
      </c>
      <c r="B16" t="s">
        <v>16</v>
      </c>
      <c r="C16" t="s">
        <v>127</v>
      </c>
    </row>
    <row r="17" spans="1:3" x14ac:dyDescent="0.15">
      <c r="A17" t="s">
        <v>114</v>
      </c>
      <c r="B17" t="s">
        <v>33</v>
      </c>
      <c r="C17" t="s">
        <v>127</v>
      </c>
    </row>
    <row r="18" spans="1:3" x14ac:dyDescent="0.15">
      <c r="A18" t="s">
        <v>116</v>
      </c>
      <c r="B18" t="s">
        <v>34</v>
      </c>
      <c r="C18" t="s">
        <v>127</v>
      </c>
    </row>
    <row r="19" spans="1:3" x14ac:dyDescent="0.15">
      <c r="A19" t="s">
        <v>104</v>
      </c>
      <c r="B19" t="s">
        <v>20</v>
      </c>
      <c r="C19" t="s">
        <v>127</v>
      </c>
    </row>
    <row r="20" spans="1:3" x14ac:dyDescent="0.15">
      <c r="A20" t="s">
        <v>96</v>
      </c>
      <c r="B20" t="s">
        <v>13</v>
      </c>
      <c r="C20" t="s">
        <v>127</v>
      </c>
    </row>
    <row r="21" spans="1:3" x14ac:dyDescent="0.15">
      <c r="A21" t="s">
        <v>121</v>
      </c>
      <c r="B21" t="s">
        <v>36</v>
      </c>
      <c r="C21" t="s">
        <v>127</v>
      </c>
    </row>
    <row r="22" spans="1:3" x14ac:dyDescent="0.15">
      <c r="A22" t="s">
        <v>117</v>
      </c>
      <c r="B22" t="s">
        <v>37</v>
      </c>
      <c r="C22" t="s">
        <v>127</v>
      </c>
    </row>
    <row r="23" spans="1:3" x14ac:dyDescent="0.15">
      <c r="A23" t="s">
        <v>109</v>
      </c>
      <c r="B23" t="s">
        <v>25</v>
      </c>
      <c r="C23" t="s">
        <v>129</v>
      </c>
    </row>
    <row r="24" spans="1:3" x14ac:dyDescent="0.15">
      <c r="A24" t="s">
        <v>122</v>
      </c>
      <c r="B24" t="s">
        <v>26</v>
      </c>
      <c r="C24" t="s">
        <v>129</v>
      </c>
    </row>
    <row r="25" spans="1:3" x14ac:dyDescent="0.15">
      <c r="A25" t="s">
        <v>8</v>
      </c>
      <c r="B25" t="s">
        <v>8</v>
      </c>
      <c r="C25" t="s">
        <v>128</v>
      </c>
    </row>
    <row r="26" spans="1:3" x14ac:dyDescent="0.15">
      <c r="A26" t="s">
        <v>91</v>
      </c>
      <c r="B26" t="s">
        <v>5</v>
      </c>
      <c r="C26" t="s">
        <v>130</v>
      </c>
    </row>
    <row r="27" spans="1:3" x14ac:dyDescent="0.15">
      <c r="A27" t="s">
        <v>115</v>
      </c>
      <c r="B27" t="s">
        <v>32</v>
      </c>
      <c r="C27" t="s">
        <v>130</v>
      </c>
    </row>
    <row r="28" spans="1:3" x14ac:dyDescent="0.15">
      <c r="A28" t="s">
        <v>112</v>
      </c>
      <c r="B28" t="s">
        <v>30</v>
      </c>
      <c r="C28" t="s">
        <v>128</v>
      </c>
    </row>
    <row r="29" spans="1:3" x14ac:dyDescent="0.15">
      <c r="A29" t="s">
        <v>95</v>
      </c>
      <c r="B29" t="s">
        <v>9</v>
      </c>
      <c r="C29" t="s">
        <v>131</v>
      </c>
    </row>
    <row r="30" spans="1:3" x14ac:dyDescent="0.15">
      <c r="A30" t="s">
        <v>107</v>
      </c>
      <c r="B30" t="s">
        <v>23</v>
      </c>
      <c r="C30" t="s">
        <v>132</v>
      </c>
    </row>
    <row r="31" spans="1:3" x14ac:dyDescent="0.15">
      <c r="A31" t="s">
        <v>119</v>
      </c>
      <c r="B31" t="s">
        <v>41</v>
      </c>
      <c r="C31" t="s">
        <v>132</v>
      </c>
    </row>
    <row r="32" spans="1:3" x14ac:dyDescent="0.15">
      <c r="A32" t="s">
        <v>29</v>
      </c>
      <c r="B32" t="s">
        <v>29</v>
      </c>
      <c r="C32" t="s">
        <v>127</v>
      </c>
    </row>
    <row r="33" spans="1:3" x14ac:dyDescent="0.15">
      <c r="A33" t="s">
        <v>103</v>
      </c>
      <c r="B33" t="s">
        <v>19</v>
      </c>
      <c r="C33" t="s">
        <v>127</v>
      </c>
    </row>
    <row r="34" spans="1:3" x14ac:dyDescent="0.15">
      <c r="A34" t="s">
        <v>106</v>
      </c>
      <c r="B34" t="s">
        <v>21</v>
      </c>
      <c r="C34" t="s">
        <v>127</v>
      </c>
    </row>
    <row r="35" spans="1:3" x14ac:dyDescent="0.15">
      <c r="A35" t="s">
        <v>100</v>
      </c>
      <c r="B35" t="s">
        <v>15</v>
      </c>
      <c r="C35" t="s">
        <v>127</v>
      </c>
    </row>
    <row r="36" spans="1:3" x14ac:dyDescent="0.15">
      <c r="A36" t="s">
        <v>111</v>
      </c>
      <c r="B36" t="s">
        <v>27</v>
      </c>
      <c r="C36" t="s">
        <v>127</v>
      </c>
    </row>
    <row r="37" spans="1:3" x14ac:dyDescent="0.15">
      <c r="A37" t="s">
        <v>110</v>
      </c>
      <c r="B37" t="s">
        <v>28</v>
      </c>
      <c r="C37" t="s">
        <v>127</v>
      </c>
    </row>
    <row r="38" spans="1:3" x14ac:dyDescent="0.15">
      <c r="A38" t="s">
        <v>137</v>
      </c>
      <c r="B38" t="s">
        <v>10</v>
      </c>
      <c r="C38" t="s">
        <v>131</v>
      </c>
    </row>
    <row r="39" spans="1:3" x14ac:dyDescent="0.15">
      <c r="A39" t="s">
        <v>11</v>
      </c>
      <c r="B39" t="s">
        <v>11</v>
      </c>
      <c r="C39" t="s">
        <v>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F3C5-1F3A-864C-9035-A39E80E70F83}">
  <sheetPr codeName="Feuil4"/>
  <dimension ref="A1:E50"/>
  <sheetViews>
    <sheetView workbookViewId="0">
      <selection activeCell="D45" sqref="D45"/>
    </sheetView>
  </sheetViews>
  <sheetFormatPr baseColWidth="10" defaultRowHeight="13" x14ac:dyDescent="0.15"/>
  <cols>
    <col min="1" max="1" width="19.5" bestFit="1" customWidth="1"/>
    <col min="2" max="2" width="33.6640625" bestFit="1" customWidth="1"/>
    <col min="3" max="3" width="29.33203125" bestFit="1" customWidth="1"/>
    <col min="4" max="4" width="29.6640625" bestFit="1" customWidth="1"/>
    <col min="5" max="5" width="23.83203125" bestFit="1" customWidth="1"/>
  </cols>
  <sheetData>
    <row r="1" spans="1:5" x14ac:dyDescent="0.15">
      <c r="A1" s="17" t="s">
        <v>2</v>
      </c>
      <c r="B1" t="s">
        <v>17</v>
      </c>
    </row>
    <row r="3" spans="1:5" x14ac:dyDescent="0.15">
      <c r="A3" s="17" t="s">
        <v>82</v>
      </c>
      <c r="B3" t="s">
        <v>84</v>
      </c>
      <c r="C3" t="s">
        <v>86</v>
      </c>
      <c r="D3" t="s">
        <v>85</v>
      </c>
      <c r="E3" t="s">
        <v>126</v>
      </c>
    </row>
    <row r="4" spans="1:5" x14ac:dyDescent="0.15">
      <c r="A4" s="18">
        <v>2006</v>
      </c>
      <c r="B4">
        <v>495.53833286443597</v>
      </c>
      <c r="C4">
        <v>487.70624693394001</v>
      </c>
      <c r="D4">
        <v>495.21983899188098</v>
      </c>
      <c r="E4">
        <v>29.7</v>
      </c>
    </row>
    <row r="5" spans="1:5" x14ac:dyDescent="0.15">
      <c r="A5" s="18">
        <v>2009</v>
      </c>
      <c r="B5">
        <v>496.78231031620697</v>
      </c>
      <c r="C5">
        <v>495.61654146316602</v>
      </c>
      <c r="D5">
        <v>498.226893935058</v>
      </c>
      <c r="E5">
        <v>32.700000000000003</v>
      </c>
    </row>
    <row r="6" spans="1:5" x14ac:dyDescent="0.15">
      <c r="A6" s="18">
        <v>2012</v>
      </c>
      <c r="B6">
        <v>494.98467432577797</v>
      </c>
      <c r="C6">
        <v>505.48148333138801</v>
      </c>
      <c r="D6">
        <v>498.97089524164801</v>
      </c>
      <c r="E6">
        <v>33.1</v>
      </c>
    </row>
    <row r="7" spans="1:5" x14ac:dyDescent="0.15">
      <c r="A7" s="18">
        <v>2015</v>
      </c>
      <c r="B7">
        <v>492.92040179419001</v>
      </c>
      <c r="C7">
        <v>499.30614190209502</v>
      </c>
      <c r="D7">
        <v>494.97760037200499</v>
      </c>
      <c r="E7">
        <v>32.700000000000003</v>
      </c>
    </row>
    <row r="8" spans="1:5" x14ac:dyDescent="0.15">
      <c r="A8" s="18">
        <v>2018</v>
      </c>
      <c r="B8">
        <v>495.40757939134699</v>
      </c>
      <c r="C8">
        <v>492.60647919679298</v>
      </c>
      <c r="D8">
        <v>492.97707394731498</v>
      </c>
      <c r="E8">
        <v>32.4</v>
      </c>
    </row>
    <row r="9" spans="1:5" x14ac:dyDescent="0.15">
      <c r="A9" s="18">
        <v>2022</v>
      </c>
      <c r="B9">
        <v>473.94441830649401</v>
      </c>
      <c r="C9">
        <v>473.85215790454299</v>
      </c>
      <c r="D9">
        <v>487.22527848887199</v>
      </c>
      <c r="E9">
        <v>31.2</v>
      </c>
    </row>
    <row r="10" spans="1:5" x14ac:dyDescent="0.15">
      <c r="A10" s="18" t="s">
        <v>83</v>
      </c>
      <c r="B10">
        <v>2949.5777169984517</v>
      </c>
      <c r="C10">
        <v>2954.569050731925</v>
      </c>
      <c r="D10">
        <v>2967.5975809767788</v>
      </c>
      <c r="E10">
        <v>191.79999999999998</v>
      </c>
    </row>
    <row r="41" spans="1:5" x14ac:dyDescent="0.15">
      <c r="A41" s="17" t="s">
        <v>2</v>
      </c>
      <c r="B41" t="s">
        <v>17</v>
      </c>
    </row>
    <row r="43" spans="1:5" x14ac:dyDescent="0.15">
      <c r="A43" s="17" t="s">
        <v>82</v>
      </c>
      <c r="B43" s="17" t="s">
        <v>84</v>
      </c>
      <c r="C43" t="s">
        <v>86</v>
      </c>
      <c r="D43" t="s">
        <v>85</v>
      </c>
      <c r="E43" t="s">
        <v>126</v>
      </c>
    </row>
    <row r="44" spans="1:5" x14ac:dyDescent="0.15">
      <c r="A44" s="18">
        <v>2006</v>
      </c>
      <c r="B44">
        <v>495.53833286443597</v>
      </c>
      <c r="C44">
        <v>487.70624693394001</v>
      </c>
      <c r="D44">
        <v>495.21983899188098</v>
      </c>
      <c r="E44">
        <v>29.7</v>
      </c>
    </row>
    <row r="45" spans="1:5" x14ac:dyDescent="0.15">
      <c r="A45" s="18">
        <v>2009</v>
      </c>
      <c r="B45">
        <v>496.78231031620697</v>
      </c>
      <c r="C45">
        <v>495.61654146316602</v>
      </c>
      <c r="D45">
        <v>498.226893935058</v>
      </c>
      <c r="E45">
        <v>32.700000000000003</v>
      </c>
    </row>
    <row r="46" spans="1:5" x14ac:dyDescent="0.15">
      <c r="A46" s="18">
        <v>2012</v>
      </c>
      <c r="B46">
        <v>494.98467432577797</v>
      </c>
      <c r="C46">
        <v>505.48148333138801</v>
      </c>
      <c r="D46">
        <v>498.97089524164801</v>
      </c>
      <c r="E46">
        <v>33.1</v>
      </c>
    </row>
    <row r="47" spans="1:5" x14ac:dyDescent="0.15">
      <c r="A47" s="18">
        <v>2015</v>
      </c>
      <c r="B47">
        <v>492.92040179419001</v>
      </c>
      <c r="C47">
        <v>499.30614190209502</v>
      </c>
      <c r="D47">
        <v>494.97760037200499</v>
      </c>
      <c r="E47">
        <v>32.700000000000003</v>
      </c>
    </row>
    <row r="48" spans="1:5" x14ac:dyDescent="0.15">
      <c r="A48" s="18">
        <v>2018</v>
      </c>
      <c r="B48">
        <v>495.40757939134699</v>
      </c>
      <c r="C48">
        <v>492.60647919679298</v>
      </c>
      <c r="D48">
        <v>492.97707394731498</v>
      </c>
      <c r="E48">
        <v>32.4</v>
      </c>
    </row>
    <row r="49" spans="1:5" x14ac:dyDescent="0.15">
      <c r="A49" s="18">
        <v>2022</v>
      </c>
      <c r="B49">
        <v>473.94441830649401</v>
      </c>
      <c r="C49">
        <v>473.85215790454299</v>
      </c>
      <c r="D49">
        <v>487.22527848887199</v>
      </c>
      <c r="E49">
        <v>31.2</v>
      </c>
    </row>
    <row r="50" spans="1:5" x14ac:dyDescent="0.15">
      <c r="A50" s="18" t="s">
        <v>83</v>
      </c>
      <c r="B50">
        <v>2949.5777169984517</v>
      </c>
      <c r="C50">
        <v>2954.569050731925</v>
      </c>
      <c r="D50">
        <v>2967.5975809767788</v>
      </c>
      <c r="E50">
        <v>191.79999999999998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5B9C-CEF6-7343-BEC1-2E45B4544190}">
  <sheetPr codeName="Feuil5"/>
  <dimension ref="A1:J74"/>
  <sheetViews>
    <sheetView zoomScale="75" workbookViewId="0">
      <selection activeCell="I51" sqref="I51"/>
    </sheetView>
  </sheetViews>
  <sheetFormatPr baseColWidth="10" defaultRowHeight="13" x14ac:dyDescent="0.15"/>
  <cols>
    <col min="1" max="1" width="21.5" style="23" bestFit="1" customWidth="1"/>
  </cols>
  <sheetData>
    <row r="1" spans="1:10" x14ac:dyDescent="0.15">
      <c r="A1" t="s">
        <v>123</v>
      </c>
      <c r="B1" s="23" t="s">
        <v>90</v>
      </c>
      <c r="C1" s="23" t="s">
        <v>50</v>
      </c>
      <c r="D1" s="23" t="s">
        <v>49</v>
      </c>
      <c r="E1" s="23" t="s">
        <v>48</v>
      </c>
      <c r="F1" s="23" t="s">
        <v>47</v>
      </c>
      <c r="G1" s="23" t="s">
        <v>46</v>
      </c>
      <c r="H1" s="23" t="s">
        <v>45</v>
      </c>
      <c r="I1" s="23" t="s">
        <v>44</v>
      </c>
      <c r="J1" s="23" t="s">
        <v>3</v>
      </c>
    </row>
    <row r="2" spans="1:10" x14ac:dyDescent="0.15">
      <c r="A2" s="4" t="s">
        <v>5</v>
      </c>
      <c r="B2" s="23" t="s">
        <v>91</v>
      </c>
      <c r="C2" s="23"/>
      <c r="D2" s="23">
        <v>33.5</v>
      </c>
      <c r="E2" s="23"/>
      <c r="F2" s="23"/>
      <c r="G2" s="23"/>
      <c r="H2" s="23"/>
      <c r="I2" s="23">
        <v>34.299999999999997</v>
      </c>
      <c r="J2" s="23"/>
    </row>
    <row r="3" spans="1:10" x14ac:dyDescent="0.15">
      <c r="A3" s="5" t="s">
        <v>6</v>
      </c>
      <c r="B3" s="23" t="s">
        <v>92</v>
      </c>
      <c r="C3" s="23">
        <v>29</v>
      </c>
      <c r="D3" s="23">
        <v>29.5</v>
      </c>
      <c r="E3" s="23">
        <v>29.6</v>
      </c>
      <c r="F3" s="23">
        <v>31.5</v>
      </c>
      <c r="G3" s="23">
        <v>30.5</v>
      </c>
      <c r="H3" s="23">
        <v>30.5</v>
      </c>
      <c r="I3" s="23">
        <v>30.8</v>
      </c>
      <c r="J3" s="23">
        <v>30.9</v>
      </c>
    </row>
    <row r="4" spans="1:10" x14ac:dyDescent="0.15">
      <c r="A4" s="4" t="s">
        <v>7</v>
      </c>
      <c r="B4" s="23" t="s">
        <v>93</v>
      </c>
      <c r="C4" s="23">
        <v>33.1</v>
      </c>
      <c r="D4" s="23">
        <v>28.1</v>
      </c>
      <c r="E4" s="23">
        <v>28.1</v>
      </c>
      <c r="F4" s="23">
        <v>28.6</v>
      </c>
      <c r="G4" s="23">
        <v>27.5</v>
      </c>
      <c r="H4" s="23">
        <v>27.7</v>
      </c>
      <c r="I4" s="23">
        <v>27.2</v>
      </c>
      <c r="J4" s="23">
        <v>26.4</v>
      </c>
    </row>
    <row r="5" spans="1:10" x14ac:dyDescent="0.15">
      <c r="A5" s="5" t="s">
        <v>8</v>
      </c>
      <c r="B5" s="23" t="s">
        <v>8</v>
      </c>
      <c r="C5" s="23">
        <v>33.4</v>
      </c>
      <c r="D5" s="23">
        <v>33.799999999999997</v>
      </c>
      <c r="E5" s="23">
        <v>34.1</v>
      </c>
      <c r="F5" s="23">
        <v>34</v>
      </c>
      <c r="G5" s="23">
        <v>33.5</v>
      </c>
      <c r="H5" s="23">
        <v>33.700000000000003</v>
      </c>
      <c r="I5" s="23">
        <v>32.5</v>
      </c>
      <c r="J5" s="23"/>
    </row>
    <row r="6" spans="1:10" x14ac:dyDescent="0.15">
      <c r="A6" s="4" t="s">
        <v>40</v>
      </c>
      <c r="B6" s="23" t="s">
        <v>94</v>
      </c>
      <c r="C6" s="23">
        <v>33.4</v>
      </c>
      <c r="D6" s="23"/>
      <c r="E6" s="23">
        <v>33.9</v>
      </c>
      <c r="F6" s="23">
        <v>32.9</v>
      </c>
      <c r="G6" s="23">
        <v>31.6</v>
      </c>
      <c r="H6" s="23">
        <v>32.299999999999997</v>
      </c>
      <c r="I6" s="23">
        <v>33.1</v>
      </c>
      <c r="J6" s="23">
        <v>33.799999999999997</v>
      </c>
    </row>
    <row r="7" spans="1:10" x14ac:dyDescent="0.15">
      <c r="A7" s="4" t="s">
        <v>9</v>
      </c>
      <c r="B7" s="23" t="s">
        <v>95</v>
      </c>
      <c r="C7" s="23">
        <v>52.8</v>
      </c>
      <c r="D7" s="23">
        <v>51.5</v>
      </c>
      <c r="E7" s="23">
        <v>47.7</v>
      </c>
      <c r="F7" s="23">
        <v>47.4</v>
      </c>
      <c r="G7" s="23"/>
      <c r="H7" s="23">
        <v>45.3</v>
      </c>
      <c r="I7" s="23"/>
      <c r="J7" s="23">
        <v>43</v>
      </c>
    </row>
    <row r="8" spans="1:10" x14ac:dyDescent="0.15">
      <c r="A8" s="5" t="s">
        <v>13</v>
      </c>
      <c r="B8" s="23" t="s">
        <v>96</v>
      </c>
      <c r="C8" s="23"/>
      <c r="D8" s="23"/>
      <c r="E8" s="23">
        <v>26.7</v>
      </c>
      <c r="F8" s="23">
        <v>26.2</v>
      </c>
      <c r="G8" s="23">
        <v>26.1</v>
      </c>
      <c r="H8" s="23">
        <v>25.9</v>
      </c>
      <c r="I8" s="23">
        <v>25</v>
      </c>
      <c r="J8" s="23">
        <v>25.9</v>
      </c>
    </row>
    <row r="9" spans="1:10" x14ac:dyDescent="0.15">
      <c r="A9" s="4" t="s">
        <v>18</v>
      </c>
      <c r="B9" s="23" t="s">
        <v>97</v>
      </c>
      <c r="C9" s="23">
        <v>28.9</v>
      </c>
      <c r="D9" s="23">
        <v>29.8</v>
      </c>
      <c r="E9" s="23">
        <v>31</v>
      </c>
      <c r="F9" s="23">
        <v>30.5</v>
      </c>
      <c r="G9" s="23">
        <v>31.1</v>
      </c>
      <c r="H9" s="23">
        <v>31.7</v>
      </c>
      <c r="I9" s="23">
        <v>31.9</v>
      </c>
      <c r="J9" s="23"/>
    </row>
    <row r="10" spans="1:10" x14ac:dyDescent="0.15">
      <c r="A10" s="4" t="s">
        <v>14</v>
      </c>
      <c r="B10" s="23" t="s">
        <v>98</v>
      </c>
      <c r="C10" s="23">
        <v>23.8</v>
      </c>
      <c r="D10" s="23">
        <v>25.6</v>
      </c>
      <c r="E10" s="23">
        <v>25.9</v>
      </c>
      <c r="F10" s="23">
        <v>26.7</v>
      </c>
      <c r="G10" s="23">
        <v>27.8</v>
      </c>
      <c r="H10" s="23">
        <v>28.2</v>
      </c>
      <c r="I10" s="23">
        <v>28.2</v>
      </c>
      <c r="J10" s="23">
        <v>29.3</v>
      </c>
    </row>
    <row r="11" spans="1:10" x14ac:dyDescent="0.15">
      <c r="A11" s="4" t="s">
        <v>38</v>
      </c>
      <c r="B11" s="23" t="s">
        <v>99</v>
      </c>
      <c r="C11" s="23">
        <v>34.1</v>
      </c>
      <c r="D11" s="23">
        <v>31.8</v>
      </c>
      <c r="E11" s="23">
        <v>33.5</v>
      </c>
      <c r="F11" s="23">
        <v>34.9</v>
      </c>
      <c r="G11" s="23">
        <v>35.4</v>
      </c>
      <c r="H11" s="23">
        <v>36.200000000000003</v>
      </c>
      <c r="I11" s="23">
        <v>34.700000000000003</v>
      </c>
      <c r="J11" s="23">
        <v>33.6</v>
      </c>
    </row>
    <row r="12" spans="1:10" x14ac:dyDescent="0.15">
      <c r="A12" s="5" t="s">
        <v>15</v>
      </c>
      <c r="B12" s="23" t="s">
        <v>100</v>
      </c>
      <c r="C12" s="23">
        <v>35.799999999999997</v>
      </c>
      <c r="D12" s="23">
        <v>37.200000000000003</v>
      </c>
      <c r="E12" s="23">
        <v>33.700000000000003</v>
      </c>
      <c r="F12" s="23">
        <v>31.4</v>
      </c>
      <c r="G12" s="23">
        <v>32.9</v>
      </c>
      <c r="H12" s="23">
        <v>32.700000000000003</v>
      </c>
      <c r="I12" s="23">
        <v>30.3</v>
      </c>
      <c r="J12" s="23">
        <v>32.299999999999997</v>
      </c>
    </row>
    <row r="13" spans="1:10" x14ac:dyDescent="0.15">
      <c r="A13" s="4" t="s">
        <v>16</v>
      </c>
      <c r="B13" s="23" t="s">
        <v>101</v>
      </c>
      <c r="C13" s="23">
        <v>27.2</v>
      </c>
      <c r="D13" s="23">
        <v>27.7</v>
      </c>
      <c r="E13" s="23">
        <v>28</v>
      </c>
      <c r="F13" s="23">
        <v>27.5</v>
      </c>
      <c r="G13" s="23">
        <v>27.1</v>
      </c>
      <c r="H13" s="23">
        <v>27.1</v>
      </c>
      <c r="I13" s="23">
        <v>27.3</v>
      </c>
      <c r="J13" s="23">
        <v>27.9</v>
      </c>
    </row>
    <row r="14" spans="1:10" x14ac:dyDescent="0.15">
      <c r="A14" s="5" t="s">
        <v>17</v>
      </c>
      <c r="B14" s="23" t="s">
        <v>17</v>
      </c>
      <c r="C14" s="23">
        <v>32.6</v>
      </c>
      <c r="D14" s="23">
        <v>31.4</v>
      </c>
      <c r="E14" s="23">
        <v>29.7</v>
      </c>
      <c r="F14" s="23">
        <v>32.700000000000003</v>
      </c>
      <c r="G14" s="23">
        <v>33.1</v>
      </c>
      <c r="H14" s="23">
        <v>32.700000000000003</v>
      </c>
      <c r="I14" s="23">
        <v>32.4</v>
      </c>
      <c r="J14" s="23">
        <v>31.2</v>
      </c>
    </row>
    <row r="15" spans="1:10" x14ac:dyDescent="0.15">
      <c r="A15" s="4" t="s">
        <v>42</v>
      </c>
      <c r="B15" s="23" t="s">
        <v>102</v>
      </c>
      <c r="C15" s="23">
        <v>38.799999999999997</v>
      </c>
      <c r="D15" s="23">
        <v>34.9</v>
      </c>
      <c r="E15" s="23">
        <v>35.9</v>
      </c>
      <c r="F15" s="23">
        <v>35.1</v>
      </c>
      <c r="G15" s="23">
        <v>33.1</v>
      </c>
      <c r="H15" s="23">
        <v>33.299999999999997</v>
      </c>
      <c r="I15" s="23">
        <v>33.700000000000003</v>
      </c>
      <c r="J15" s="23"/>
    </row>
    <row r="16" spans="1:10" x14ac:dyDescent="0.15">
      <c r="A16" s="5" t="s">
        <v>19</v>
      </c>
      <c r="B16" s="23" t="s">
        <v>103</v>
      </c>
      <c r="C16" s="23">
        <v>34.4</v>
      </c>
      <c r="D16" s="23">
        <v>32.799999999999997</v>
      </c>
      <c r="E16" s="23">
        <v>35.1</v>
      </c>
      <c r="F16" s="23">
        <v>33.6</v>
      </c>
      <c r="G16" s="23">
        <v>36.299999999999997</v>
      </c>
      <c r="H16" s="23">
        <v>36</v>
      </c>
      <c r="I16" s="23">
        <v>32.9</v>
      </c>
      <c r="J16" s="23">
        <v>33.4</v>
      </c>
    </row>
    <row r="17" spans="1:10" x14ac:dyDescent="0.15">
      <c r="A17" s="4" t="s">
        <v>20</v>
      </c>
      <c r="B17" s="23" t="s">
        <v>104</v>
      </c>
      <c r="C17" s="23">
        <v>27.2</v>
      </c>
      <c r="D17" s="23">
        <v>30.9</v>
      </c>
      <c r="E17" s="23">
        <v>28.3</v>
      </c>
      <c r="F17" s="23">
        <v>27</v>
      </c>
      <c r="G17" s="23">
        <v>30.8</v>
      </c>
      <c r="H17" s="23">
        <v>30.4</v>
      </c>
      <c r="I17" s="23"/>
      <c r="J17" s="23"/>
    </row>
    <row r="18" spans="1:10" x14ac:dyDescent="0.15">
      <c r="A18" s="4" t="s">
        <v>22</v>
      </c>
      <c r="B18" s="23" t="s">
        <v>105</v>
      </c>
      <c r="C18" s="23">
        <v>33</v>
      </c>
      <c r="D18" s="23">
        <v>32.9</v>
      </c>
      <c r="E18" s="23">
        <v>32.700000000000003</v>
      </c>
      <c r="F18" s="23">
        <v>32.700000000000003</v>
      </c>
      <c r="G18" s="23">
        <v>33.200000000000003</v>
      </c>
      <c r="H18" s="23">
        <v>31.8</v>
      </c>
      <c r="I18" s="23">
        <v>30.6</v>
      </c>
      <c r="J18" s="23">
        <v>29.9</v>
      </c>
    </row>
    <row r="19" spans="1:10" x14ac:dyDescent="0.15">
      <c r="A19" s="5" t="s">
        <v>21</v>
      </c>
      <c r="B19" s="23" t="s">
        <v>106</v>
      </c>
      <c r="C19" s="23"/>
      <c r="D19" s="23">
        <v>26.8</v>
      </c>
      <c r="E19" s="23">
        <v>30.2</v>
      </c>
      <c r="F19" s="23">
        <v>28.7</v>
      </c>
      <c r="G19" s="23">
        <v>26.8</v>
      </c>
      <c r="H19" s="23">
        <v>26.8</v>
      </c>
      <c r="I19" s="23">
        <v>26.6</v>
      </c>
      <c r="J19" s="23"/>
    </row>
    <row r="20" spans="1:10" x14ac:dyDescent="0.15">
      <c r="A20" s="5" t="s">
        <v>23</v>
      </c>
      <c r="B20" s="23" t="s">
        <v>107</v>
      </c>
      <c r="C20" s="23"/>
      <c r="D20" s="23">
        <v>40.700000000000003</v>
      </c>
      <c r="E20" s="23">
        <v>41.6</v>
      </c>
      <c r="F20" s="23">
        <v>42.6</v>
      </c>
      <c r="G20" s="23">
        <v>41.3</v>
      </c>
      <c r="H20" s="23">
        <v>39.700000000000003</v>
      </c>
      <c r="I20" s="23">
        <v>38.6</v>
      </c>
      <c r="J20" s="23"/>
    </row>
    <row r="21" spans="1:10" x14ac:dyDescent="0.15">
      <c r="A21" s="4" t="s">
        <v>24</v>
      </c>
      <c r="B21" s="23" t="s">
        <v>108</v>
      </c>
      <c r="C21" s="23">
        <v>35.200000000000003</v>
      </c>
      <c r="D21" s="23">
        <v>34.9</v>
      </c>
      <c r="E21" s="23">
        <v>33.700000000000003</v>
      </c>
      <c r="F21" s="23">
        <v>33.799999999999997</v>
      </c>
      <c r="G21" s="23">
        <v>35.200000000000003</v>
      </c>
      <c r="H21" s="23">
        <v>35.4</v>
      </c>
      <c r="I21" s="23">
        <v>35.200000000000003</v>
      </c>
      <c r="J21" s="23">
        <v>33.700000000000003</v>
      </c>
    </row>
    <row r="22" spans="1:10" x14ac:dyDescent="0.15">
      <c r="A22" s="5" t="s">
        <v>25</v>
      </c>
      <c r="B22" s="23" t="s">
        <v>109</v>
      </c>
      <c r="C22" s="23"/>
      <c r="D22" s="23"/>
      <c r="E22" s="23"/>
      <c r="F22" s="23">
        <v>33</v>
      </c>
      <c r="G22" s="23">
        <v>32.5</v>
      </c>
      <c r="H22" s="23">
        <v>30.7</v>
      </c>
      <c r="I22" s="23">
        <v>32.9</v>
      </c>
      <c r="J22" s="23"/>
    </row>
    <row r="23" spans="1:10" x14ac:dyDescent="0.15">
      <c r="A23" s="4" t="s">
        <v>28</v>
      </c>
      <c r="B23" s="23" t="s">
        <v>110</v>
      </c>
      <c r="C23" s="23">
        <v>31.7</v>
      </c>
      <c r="D23" s="23">
        <v>35.5</v>
      </c>
      <c r="E23" s="23">
        <v>34.4</v>
      </c>
      <c r="F23" s="23">
        <v>37.200000000000003</v>
      </c>
      <c r="G23" s="23">
        <v>35.1</v>
      </c>
      <c r="H23" s="23">
        <v>37.4</v>
      </c>
      <c r="I23" s="23">
        <v>35.700000000000003</v>
      </c>
      <c r="J23" s="23">
        <v>36.6</v>
      </c>
    </row>
    <row r="24" spans="1:10" x14ac:dyDescent="0.15">
      <c r="A24" s="5" t="s">
        <v>29</v>
      </c>
      <c r="B24" s="23" t="s">
        <v>29</v>
      </c>
      <c r="C24" s="23">
        <v>30.1</v>
      </c>
      <c r="D24" s="23">
        <v>30.2</v>
      </c>
      <c r="E24" s="23">
        <v>30.9</v>
      </c>
      <c r="F24" s="23">
        <v>31.2</v>
      </c>
      <c r="G24" s="23">
        <v>34.299999999999997</v>
      </c>
      <c r="H24" s="23">
        <v>32.9</v>
      </c>
      <c r="I24" s="23">
        <v>35.4</v>
      </c>
      <c r="J24" s="23">
        <v>34.1</v>
      </c>
    </row>
    <row r="25" spans="1:10" x14ac:dyDescent="0.15">
      <c r="A25" s="5" t="s">
        <v>27</v>
      </c>
      <c r="B25" s="23" t="s">
        <v>111</v>
      </c>
      <c r="C25" s="23"/>
      <c r="D25" s="23">
        <v>36.5</v>
      </c>
      <c r="E25" s="23">
        <v>35.6</v>
      </c>
      <c r="F25" s="23">
        <v>35.9</v>
      </c>
      <c r="G25" s="23">
        <v>35.200000000000003</v>
      </c>
      <c r="H25" s="23">
        <v>34.200000000000003</v>
      </c>
      <c r="I25" s="23">
        <v>35.1</v>
      </c>
      <c r="J25" s="23">
        <v>33.700000000000003</v>
      </c>
    </row>
    <row r="26" spans="1:10" x14ac:dyDescent="0.15">
      <c r="A26" s="4" t="s">
        <v>30</v>
      </c>
      <c r="B26" s="23" t="s">
        <v>112</v>
      </c>
      <c r="C26" s="23">
        <v>53.4</v>
      </c>
      <c r="D26" s="23"/>
      <c r="E26" s="23">
        <v>49.7</v>
      </c>
      <c r="F26" s="23"/>
      <c r="G26" s="23">
        <v>49.6</v>
      </c>
      <c r="H26" s="23"/>
      <c r="I26" s="23">
        <v>46</v>
      </c>
      <c r="J26" s="23">
        <v>43.5</v>
      </c>
    </row>
    <row r="27" spans="1:10" x14ac:dyDescent="0.15">
      <c r="A27" s="5" t="s">
        <v>31</v>
      </c>
      <c r="B27" s="23" t="s">
        <v>113</v>
      </c>
      <c r="C27" s="23"/>
      <c r="D27" s="23"/>
      <c r="E27" s="23">
        <v>30</v>
      </c>
      <c r="F27" s="23">
        <v>27.9</v>
      </c>
      <c r="G27" s="23">
        <v>27.6</v>
      </c>
      <c r="H27" s="23">
        <v>28.2</v>
      </c>
      <c r="I27" s="23">
        <v>28.1</v>
      </c>
      <c r="J27" s="23"/>
    </row>
    <row r="28" spans="1:10" x14ac:dyDescent="0.15">
      <c r="A28" s="5" t="s">
        <v>33</v>
      </c>
      <c r="B28" s="23" t="s">
        <v>114</v>
      </c>
      <c r="C28" s="23">
        <v>27.4</v>
      </c>
      <c r="D28" s="23">
        <v>27.6</v>
      </c>
      <c r="E28" s="23">
        <v>26.4</v>
      </c>
      <c r="F28" s="23">
        <v>26.2</v>
      </c>
      <c r="G28" s="23">
        <v>25.7</v>
      </c>
      <c r="H28" s="23">
        <v>27.5</v>
      </c>
      <c r="I28" s="23">
        <v>27.6</v>
      </c>
      <c r="J28" s="23">
        <v>26.9</v>
      </c>
    </row>
    <row r="29" spans="1:10" x14ac:dyDescent="0.15">
      <c r="A29" s="4" t="s">
        <v>32</v>
      </c>
      <c r="B29" s="23" t="s">
        <v>115</v>
      </c>
      <c r="C29" s="23"/>
      <c r="D29" s="23"/>
      <c r="E29" s="23"/>
      <c r="F29" s="23"/>
      <c r="G29" s="23"/>
      <c r="H29" s="23"/>
      <c r="I29" s="23"/>
      <c r="J29" s="23"/>
    </row>
    <row r="30" spans="1:10" x14ac:dyDescent="0.15">
      <c r="A30" s="4" t="s">
        <v>34</v>
      </c>
      <c r="B30" s="23" t="s">
        <v>116</v>
      </c>
      <c r="C30" s="23">
        <v>33</v>
      </c>
      <c r="D30" s="23">
        <v>34.9</v>
      </c>
      <c r="E30" s="23">
        <v>34.700000000000003</v>
      </c>
      <c r="F30" s="23">
        <v>33.4</v>
      </c>
      <c r="G30" s="23">
        <v>33</v>
      </c>
      <c r="H30" s="23">
        <v>31.8</v>
      </c>
      <c r="I30" s="23">
        <v>30.2</v>
      </c>
      <c r="J30" s="23">
        <v>28.9</v>
      </c>
    </row>
    <row r="31" spans="1:10" x14ac:dyDescent="0.15">
      <c r="A31" s="5" t="s">
        <v>35</v>
      </c>
      <c r="B31" s="23" t="s">
        <v>35</v>
      </c>
      <c r="C31" s="23"/>
      <c r="D31" s="23">
        <v>38.799999999999997</v>
      </c>
      <c r="E31" s="23">
        <v>38.1</v>
      </c>
      <c r="F31" s="23">
        <v>34.9</v>
      </c>
      <c r="G31" s="23">
        <v>36</v>
      </c>
      <c r="H31" s="23">
        <v>35.5</v>
      </c>
      <c r="I31" s="23">
        <v>33.5</v>
      </c>
      <c r="J31" s="23">
        <v>36.299999999999997</v>
      </c>
    </row>
    <row r="32" spans="1:10" x14ac:dyDescent="0.15">
      <c r="A32" s="5" t="s">
        <v>37</v>
      </c>
      <c r="B32" s="23" t="s">
        <v>117</v>
      </c>
      <c r="C32" s="23"/>
      <c r="D32" s="23">
        <v>30.9</v>
      </c>
      <c r="E32" s="23">
        <v>24.4</v>
      </c>
      <c r="F32" s="23">
        <v>24.8</v>
      </c>
      <c r="G32" s="23">
        <v>25.6</v>
      </c>
      <c r="H32" s="23">
        <v>25.4</v>
      </c>
      <c r="I32" s="23">
        <v>24.6</v>
      </c>
      <c r="J32" s="23">
        <v>24.3</v>
      </c>
    </row>
    <row r="33" spans="1:10" x14ac:dyDescent="0.15">
      <c r="A33" s="5" t="s">
        <v>39</v>
      </c>
      <c r="B33" s="23" t="s">
        <v>118</v>
      </c>
      <c r="C33" s="23">
        <v>27</v>
      </c>
      <c r="D33" s="23">
        <v>25.3</v>
      </c>
      <c r="E33" s="23">
        <v>26.4</v>
      </c>
      <c r="F33" s="23">
        <v>27.3</v>
      </c>
      <c r="G33" s="23">
        <v>27.6</v>
      </c>
      <c r="H33" s="23">
        <v>29.2</v>
      </c>
      <c r="I33" s="23">
        <v>30</v>
      </c>
      <c r="J33" s="23">
        <v>31.6</v>
      </c>
    </row>
    <row r="34" spans="1:10" x14ac:dyDescent="0.15">
      <c r="A34" s="5" t="s">
        <v>41</v>
      </c>
      <c r="B34" s="23" t="s">
        <v>119</v>
      </c>
      <c r="C34" s="23"/>
      <c r="D34" s="23">
        <v>42.2</v>
      </c>
      <c r="E34" s="23">
        <v>39.6</v>
      </c>
      <c r="F34" s="23">
        <v>39</v>
      </c>
      <c r="G34" s="23">
        <v>40.200000000000003</v>
      </c>
      <c r="H34" s="23">
        <v>42.9</v>
      </c>
      <c r="I34" s="23">
        <v>42.4</v>
      </c>
      <c r="J34" s="23">
        <v>44.5</v>
      </c>
    </row>
    <row r="35" spans="1:10" x14ac:dyDescent="0.15">
      <c r="A35" s="5" t="s">
        <v>43</v>
      </c>
      <c r="B35" s="23" t="s">
        <v>120</v>
      </c>
      <c r="C35" s="23">
        <v>40.1</v>
      </c>
      <c r="D35" s="23">
        <v>40.799999999999997</v>
      </c>
      <c r="E35" s="23">
        <v>41.7</v>
      </c>
      <c r="F35" s="23">
        <v>40.799999999999997</v>
      </c>
      <c r="G35" s="23">
        <v>41.2</v>
      </c>
      <c r="H35" s="23">
        <v>41.5</v>
      </c>
      <c r="I35" s="23">
        <v>41.8</v>
      </c>
      <c r="J35" s="23">
        <v>41.7</v>
      </c>
    </row>
    <row r="36" spans="1:10" x14ac:dyDescent="0.15">
      <c r="A36"/>
    </row>
    <row r="37" spans="1:10" x14ac:dyDescent="0.15">
      <c r="A37"/>
    </row>
    <row r="38" spans="1:10" x14ac:dyDescent="0.15">
      <c r="A38"/>
    </row>
    <row r="39" spans="1:10" x14ac:dyDescent="0.15">
      <c r="A39"/>
    </row>
    <row r="40" spans="1:10" x14ac:dyDescent="0.15">
      <c r="A40"/>
    </row>
    <row r="41" spans="1:10" x14ac:dyDescent="0.15">
      <c r="A41"/>
    </row>
    <row r="42" spans="1:10" x14ac:dyDescent="0.15">
      <c r="A42"/>
    </row>
    <row r="43" spans="1:10" x14ac:dyDescent="0.15">
      <c r="A43"/>
    </row>
    <row r="44" spans="1:10" x14ac:dyDescent="0.15">
      <c r="A44"/>
    </row>
    <row r="45" spans="1:10" x14ac:dyDescent="0.15">
      <c r="A45"/>
    </row>
    <row r="46" spans="1:10" x14ac:dyDescent="0.15">
      <c r="A46"/>
    </row>
    <row r="47" spans="1:10" x14ac:dyDescent="0.15">
      <c r="A47"/>
    </row>
    <row r="48" spans="1:10" x14ac:dyDescent="0.15">
      <c r="A48"/>
    </row>
    <row r="49" spans="1:1" x14ac:dyDescent="0.15">
      <c r="A49"/>
    </row>
    <row r="50" spans="1:1" x14ac:dyDescent="0.15">
      <c r="A50"/>
    </row>
    <row r="51" spans="1:1" x14ac:dyDescent="0.15">
      <c r="A51"/>
    </row>
    <row r="52" spans="1:1" x14ac:dyDescent="0.15">
      <c r="A52"/>
    </row>
    <row r="53" spans="1:1" x14ac:dyDescent="0.15">
      <c r="A53"/>
    </row>
    <row r="54" spans="1:1" x14ac:dyDescent="0.15">
      <c r="A54"/>
    </row>
    <row r="55" spans="1:1" x14ac:dyDescent="0.15">
      <c r="A55"/>
    </row>
    <row r="56" spans="1:1" x14ac:dyDescent="0.15">
      <c r="A56"/>
    </row>
    <row r="57" spans="1:1" x14ac:dyDescent="0.15">
      <c r="A57"/>
    </row>
    <row r="58" spans="1:1" x14ac:dyDescent="0.15">
      <c r="A58"/>
    </row>
    <row r="59" spans="1:1" x14ac:dyDescent="0.15">
      <c r="A59"/>
    </row>
    <row r="60" spans="1:1" x14ac:dyDescent="0.15">
      <c r="A60"/>
    </row>
    <row r="61" spans="1:1" x14ac:dyDescent="0.15">
      <c r="A61"/>
    </row>
    <row r="62" spans="1:1" x14ac:dyDescent="0.15">
      <c r="A62"/>
    </row>
    <row r="63" spans="1:1" x14ac:dyDescent="0.15">
      <c r="A63"/>
    </row>
    <row r="64" spans="1:1" x14ac:dyDescent="0.15">
      <c r="A64"/>
    </row>
    <row r="65" spans="1:1" x14ac:dyDescent="0.15">
      <c r="A65"/>
    </row>
    <row r="66" spans="1:1" x14ac:dyDescent="0.15">
      <c r="A66"/>
    </row>
    <row r="67" spans="1:1" x14ac:dyDescent="0.15">
      <c r="A67"/>
    </row>
    <row r="68" spans="1:1" x14ac:dyDescent="0.15">
      <c r="A68"/>
    </row>
    <row r="69" spans="1:1" x14ac:dyDescent="0.15">
      <c r="A69"/>
    </row>
    <row r="70" spans="1:1" x14ac:dyDescent="0.15">
      <c r="A70"/>
    </row>
    <row r="71" spans="1:1" x14ac:dyDescent="0.15">
      <c r="A71"/>
    </row>
    <row r="72" spans="1:1" x14ac:dyDescent="0.15">
      <c r="A72"/>
    </row>
    <row r="73" spans="1:1" x14ac:dyDescent="0.15">
      <c r="A73"/>
    </row>
    <row r="74" spans="1:1" x14ac:dyDescent="0.15">
      <c r="A74"/>
    </row>
  </sheetData>
  <autoFilter ref="A1:J35" xr:uid="{B7F65B9C-CEF6-7343-BEC1-2E45B454419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A5FA-4428-A346-9537-8E3157348327}">
  <sheetPr codeName="Feuil6"/>
  <dimension ref="A1:C15"/>
  <sheetViews>
    <sheetView workbookViewId="0">
      <selection activeCell="A10" sqref="A10"/>
    </sheetView>
  </sheetViews>
  <sheetFormatPr baseColWidth="10" defaultRowHeight="13" x14ac:dyDescent="0.15"/>
  <cols>
    <col min="1" max="1" width="44.83203125" bestFit="1" customWidth="1"/>
    <col min="2" max="2" width="29.5" bestFit="1" customWidth="1"/>
    <col min="3" max="3" width="21.5" bestFit="1" customWidth="1"/>
    <col min="4" max="4" width="36.5" bestFit="1" customWidth="1"/>
    <col min="5" max="5" width="44.83203125" bestFit="1" customWidth="1"/>
    <col min="6" max="6" width="28.5" bestFit="1" customWidth="1"/>
    <col min="7" max="7" width="24.83203125" bestFit="1" customWidth="1"/>
    <col min="8" max="8" width="28.1640625" bestFit="1" customWidth="1"/>
    <col min="9" max="9" width="24" bestFit="1" customWidth="1"/>
    <col min="10" max="10" width="24.5" bestFit="1" customWidth="1"/>
    <col min="11" max="11" width="25.6640625" bestFit="1" customWidth="1"/>
    <col min="12" max="12" width="31.5" bestFit="1" customWidth="1"/>
    <col min="13" max="13" width="37" bestFit="1" customWidth="1"/>
    <col min="14" max="14" width="36.1640625" bestFit="1" customWidth="1"/>
  </cols>
  <sheetData>
    <row r="1" spans="1:3" x14ac:dyDescent="0.15">
      <c r="A1" s="19" t="s">
        <v>87</v>
      </c>
      <c r="B1" s="19" t="s">
        <v>88</v>
      </c>
      <c r="C1" s="19" t="s">
        <v>89</v>
      </c>
    </row>
    <row r="2" spans="1:3" x14ac:dyDescent="0.15">
      <c r="A2" s="19" t="s">
        <v>77</v>
      </c>
      <c r="B2" s="22">
        <v>-0.84999715815665511</v>
      </c>
      <c r="C2" s="22">
        <f t="shared" ref="C2:C15" si="0">ABS(B2)</f>
        <v>0.84999715815665511</v>
      </c>
    </row>
    <row r="3" spans="1:3" x14ac:dyDescent="0.15">
      <c r="A3" s="19" t="s">
        <v>81</v>
      </c>
      <c r="B3" s="22">
        <v>0.67185955509060558</v>
      </c>
      <c r="C3" s="22">
        <f t="shared" si="0"/>
        <v>0.67185955509060558</v>
      </c>
    </row>
    <row r="4" spans="1:3" x14ac:dyDescent="0.15">
      <c r="A4" s="19" t="s">
        <v>75</v>
      </c>
      <c r="B4" s="22">
        <v>0.62341519862974271</v>
      </c>
      <c r="C4" s="22">
        <f t="shared" si="0"/>
        <v>0.62341519862974271</v>
      </c>
    </row>
    <row r="5" spans="1:3" x14ac:dyDescent="0.15">
      <c r="A5" s="19" t="s">
        <v>67</v>
      </c>
      <c r="B5" s="22">
        <v>0.51886170688997879</v>
      </c>
      <c r="C5" s="22">
        <f t="shared" si="0"/>
        <v>0.51886170688997879</v>
      </c>
    </row>
    <row r="6" spans="1:3" x14ac:dyDescent="0.15">
      <c r="A6" s="19" t="s">
        <v>65</v>
      </c>
      <c r="B6" s="22">
        <v>0.51759620572756226</v>
      </c>
      <c r="C6" s="22">
        <f t="shared" si="0"/>
        <v>0.51759620572756226</v>
      </c>
    </row>
    <row r="7" spans="1:3" x14ac:dyDescent="0.15">
      <c r="A7" s="19" t="s">
        <v>74</v>
      </c>
      <c r="B7" s="22">
        <v>-0.49625300146106627</v>
      </c>
      <c r="C7" s="22">
        <f t="shared" si="0"/>
        <v>0.49625300146106627</v>
      </c>
    </row>
    <row r="8" spans="1:3" x14ac:dyDescent="0.15">
      <c r="A8" s="19" t="s">
        <v>69</v>
      </c>
      <c r="B8" s="22">
        <v>-0.47806619681557339</v>
      </c>
      <c r="C8" s="22">
        <f t="shared" si="0"/>
        <v>0.47806619681557339</v>
      </c>
    </row>
    <row r="9" spans="1:3" x14ac:dyDescent="0.15">
      <c r="A9" s="19" t="s">
        <v>68</v>
      </c>
      <c r="B9" s="22">
        <v>-0.45592355405832519</v>
      </c>
      <c r="C9" s="22">
        <f t="shared" si="0"/>
        <v>0.45592355405832519</v>
      </c>
    </row>
    <row r="10" spans="1:3" x14ac:dyDescent="0.15">
      <c r="A10" s="19" t="s">
        <v>70</v>
      </c>
      <c r="B10" s="22">
        <v>-0.26705142341540783</v>
      </c>
      <c r="C10" s="22">
        <f t="shared" si="0"/>
        <v>0.26705142341540783</v>
      </c>
    </row>
    <row r="11" spans="1:3" x14ac:dyDescent="0.15">
      <c r="A11" s="19" t="s">
        <v>71</v>
      </c>
      <c r="B11" s="22">
        <v>-0.25085852617383247</v>
      </c>
      <c r="C11" s="22">
        <f t="shared" si="0"/>
        <v>0.25085852617383247</v>
      </c>
    </row>
    <row r="12" spans="1:3" x14ac:dyDescent="0.15">
      <c r="A12" s="19" t="s">
        <v>72</v>
      </c>
      <c r="B12" s="22">
        <v>-0.11799181655364749</v>
      </c>
      <c r="C12" s="22">
        <f t="shared" si="0"/>
        <v>0.11799181655364749</v>
      </c>
    </row>
    <row r="13" spans="1:3" x14ac:dyDescent="0.15">
      <c r="A13" s="19" t="s">
        <v>76</v>
      </c>
      <c r="B13" s="22">
        <v>7.6054313102054516E-2</v>
      </c>
      <c r="C13" s="22">
        <f t="shared" si="0"/>
        <v>7.6054313102054516E-2</v>
      </c>
    </row>
    <row r="14" spans="1:3" x14ac:dyDescent="0.15">
      <c r="A14" s="19" t="s">
        <v>73</v>
      </c>
      <c r="B14" s="22">
        <v>-3.9732128321494996E-2</v>
      </c>
      <c r="C14" s="22">
        <f t="shared" si="0"/>
        <v>3.9732128321494996E-2</v>
      </c>
    </row>
    <row r="15" spans="1:3" x14ac:dyDescent="0.15">
      <c r="A15" s="19" t="s">
        <v>66</v>
      </c>
      <c r="B15" s="22">
        <v>3.0548541146176569E-2</v>
      </c>
      <c r="C15" s="22">
        <f t="shared" si="0"/>
        <v>3.0548541146176569E-2</v>
      </c>
    </row>
  </sheetData>
  <autoFilter ref="A1:C15" xr:uid="{EF23A5FA-4428-A346-9537-8E3157348327}">
    <sortState xmlns:xlrd2="http://schemas.microsoft.com/office/spreadsheetml/2017/richdata2" ref="A2:C15">
      <sortCondition descending="1" ref="C1:C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E11FB-0AAD-C940-B859-B4048038DF76}">
  <dimension ref="A1:M89"/>
  <sheetViews>
    <sheetView topLeftCell="B39" workbookViewId="0">
      <selection activeCell="M73" sqref="M73"/>
    </sheetView>
  </sheetViews>
  <sheetFormatPr baseColWidth="10" defaultRowHeight="13" x14ac:dyDescent="0.15"/>
  <cols>
    <col min="1" max="1" width="22.83203125" bestFit="1" customWidth="1"/>
    <col min="2" max="2" width="20.33203125" bestFit="1" customWidth="1"/>
    <col min="8" max="8" width="22.1640625" customWidth="1"/>
    <col min="9" max="9" width="12.1640625" bestFit="1" customWidth="1"/>
    <col min="11" max="11" width="27.5" customWidth="1"/>
  </cols>
  <sheetData>
    <row r="1" spans="1:13" ht="13" customHeight="1" thickBot="1" x14ac:dyDescent="0.2">
      <c r="A1" s="36" t="s">
        <v>187</v>
      </c>
      <c r="B1" s="35" t="s">
        <v>139</v>
      </c>
      <c r="D1" s="36" t="s">
        <v>188</v>
      </c>
      <c r="E1" s="35" t="s">
        <v>139</v>
      </c>
      <c r="H1" s="26"/>
      <c r="I1" s="26" t="s">
        <v>192</v>
      </c>
      <c r="K1" s="43"/>
      <c r="L1" s="50" t="s">
        <v>194</v>
      </c>
      <c r="M1" s="51" t="s">
        <v>195</v>
      </c>
    </row>
    <row r="2" spans="1:13" x14ac:dyDescent="0.15">
      <c r="A2" s="32" t="s">
        <v>24</v>
      </c>
      <c r="B2" s="27">
        <v>21.06221961975098</v>
      </c>
      <c r="D2" s="37" t="s">
        <v>11</v>
      </c>
      <c r="E2" s="38">
        <v>-2.6</v>
      </c>
      <c r="H2" s="48" t="s">
        <v>147</v>
      </c>
      <c r="I2" s="19">
        <v>21641.851473557199</v>
      </c>
      <c r="K2" s="44" t="s">
        <v>147</v>
      </c>
      <c r="L2" s="52">
        <v>439.87666668145761</v>
      </c>
      <c r="M2" s="53">
        <v>45963.430705938044</v>
      </c>
    </row>
    <row r="3" spans="1:13" x14ac:dyDescent="0.15">
      <c r="A3" s="33" t="s">
        <v>6</v>
      </c>
      <c r="B3" s="28">
        <v>19.055576324462891</v>
      </c>
      <c r="D3" s="37" t="s">
        <v>9</v>
      </c>
      <c r="E3" s="38">
        <v>-6.6</v>
      </c>
      <c r="H3" s="49" t="s">
        <v>31</v>
      </c>
      <c r="I3" s="19">
        <v>63741.704454882936</v>
      </c>
      <c r="K3" s="45" t="s">
        <v>31</v>
      </c>
      <c r="L3" s="54">
        <v>492.67563897849618</v>
      </c>
      <c r="M3" s="55">
        <v>119584.16</v>
      </c>
    </row>
    <row r="4" spans="1:13" x14ac:dyDescent="0.15">
      <c r="A4" s="33" t="s">
        <v>9</v>
      </c>
      <c r="B4" s="28">
        <v>16.28679275512695</v>
      </c>
      <c r="D4" s="37" t="s">
        <v>30</v>
      </c>
      <c r="E4" s="38">
        <v>-7.8</v>
      </c>
      <c r="H4" s="48" t="s">
        <v>182</v>
      </c>
      <c r="I4" s="19">
        <v>13055.900775103288</v>
      </c>
      <c r="K4" s="46" t="s">
        <v>156</v>
      </c>
      <c r="L4" s="54">
        <v>414.19806319763069</v>
      </c>
      <c r="M4" s="55">
        <v>35686.340801745348</v>
      </c>
    </row>
    <row r="5" spans="1:13" x14ac:dyDescent="0.15">
      <c r="A5" s="33" t="s">
        <v>141</v>
      </c>
      <c r="B5" s="28">
        <v>15.167873382568359</v>
      </c>
      <c r="D5" s="37" t="s">
        <v>141</v>
      </c>
      <c r="E5" s="38">
        <v>-8.1</v>
      </c>
      <c r="H5" s="48" t="s">
        <v>156</v>
      </c>
      <c r="I5" s="19">
        <v>15390.465825503879</v>
      </c>
      <c r="K5" s="46" t="s">
        <v>184</v>
      </c>
      <c r="L5" s="54">
        <v>365.74667644248541</v>
      </c>
      <c r="M5" s="55">
        <v>30891.362375420889</v>
      </c>
    </row>
    <row r="6" spans="1:13" x14ac:dyDescent="0.15">
      <c r="A6" s="33" t="s">
        <v>11</v>
      </c>
      <c r="B6" s="28">
        <v>15.16378021240234</v>
      </c>
      <c r="D6" s="37" t="s">
        <v>143</v>
      </c>
      <c r="E6" s="38">
        <v>-9.5</v>
      </c>
      <c r="H6" s="48" t="s">
        <v>157</v>
      </c>
      <c r="I6" s="19">
        <v>48710.947680434969</v>
      </c>
      <c r="K6" s="45" t="s">
        <v>18</v>
      </c>
      <c r="L6" s="54">
        <v>474.82645390785711</v>
      </c>
      <c r="M6" s="55">
        <v>121061.54000000001</v>
      </c>
    </row>
    <row r="7" spans="1:13" x14ac:dyDescent="0.15">
      <c r="A7" s="33" t="s">
        <v>20</v>
      </c>
      <c r="B7" s="28">
        <v>14.857639312744141</v>
      </c>
      <c r="D7" s="37" t="s">
        <v>10</v>
      </c>
      <c r="E7" s="38">
        <v>-11.6</v>
      </c>
      <c r="H7" s="48" t="s">
        <v>184</v>
      </c>
      <c r="I7" s="19">
        <v>6199.4510175505238</v>
      </c>
      <c r="K7" s="45" t="s">
        <v>16</v>
      </c>
      <c r="L7" s="54">
        <v>484.13922563776703</v>
      </c>
      <c r="M7" s="55">
        <v>126777.01</v>
      </c>
    </row>
    <row r="8" spans="1:13" x14ac:dyDescent="0.15">
      <c r="A8" s="33" t="s">
        <v>42</v>
      </c>
      <c r="B8" s="28">
        <v>14.36984157562256</v>
      </c>
      <c r="D8" s="37" t="s">
        <v>153</v>
      </c>
      <c r="E8" s="38">
        <v>-13.2</v>
      </c>
      <c r="H8" s="49" t="s">
        <v>18</v>
      </c>
      <c r="I8" s="19">
        <v>58276.015095214258</v>
      </c>
      <c r="K8" s="46" t="s">
        <v>173</v>
      </c>
      <c r="L8" s="54">
        <v>442.09310447098142</v>
      </c>
      <c r="M8" s="55">
        <v>207324.22501819098</v>
      </c>
    </row>
    <row r="9" spans="1:13" x14ac:dyDescent="0.15">
      <c r="A9" s="33" t="s">
        <v>43</v>
      </c>
      <c r="B9" s="28">
        <v>13.26949310302734</v>
      </c>
      <c r="D9" s="37" t="s">
        <v>146</v>
      </c>
      <c r="E9" s="38">
        <v>-14.2</v>
      </c>
      <c r="H9" s="49" t="s">
        <v>16</v>
      </c>
      <c r="I9" s="19">
        <v>55203.328302580951</v>
      </c>
      <c r="K9" s="46" t="s">
        <v>193</v>
      </c>
      <c r="L9" s="54">
        <v>540.35180122868928</v>
      </c>
      <c r="M9" s="55">
        <v>124555.73954199511</v>
      </c>
    </row>
    <row r="10" spans="1:13" x14ac:dyDescent="0.15">
      <c r="A10" s="33" t="s">
        <v>22</v>
      </c>
      <c r="B10" s="28">
        <v>12.72527503967285</v>
      </c>
      <c r="D10" s="37" t="s">
        <v>148</v>
      </c>
      <c r="E10" s="38">
        <v>-15.1</v>
      </c>
      <c r="H10" s="48" t="s">
        <v>173</v>
      </c>
      <c r="I10" s="19">
        <v>66055.248302361535</v>
      </c>
      <c r="K10" s="46" t="s">
        <v>169</v>
      </c>
      <c r="L10" s="54">
        <v>365.52525387157698</v>
      </c>
      <c r="M10" s="55">
        <v>19716.433156373991</v>
      </c>
    </row>
    <row r="11" spans="1:13" x14ac:dyDescent="0.15">
      <c r="A11" s="33" t="s">
        <v>143</v>
      </c>
      <c r="B11" s="28">
        <v>12.48702430725098</v>
      </c>
      <c r="D11" s="37" t="s">
        <v>42</v>
      </c>
      <c r="E11" s="38">
        <v>-16.5</v>
      </c>
      <c r="H11" s="48" t="s">
        <v>193</v>
      </c>
      <c r="I11" s="19">
        <v>65891.69471337134</v>
      </c>
      <c r="K11" s="45" t="s">
        <v>43</v>
      </c>
      <c r="L11" s="54">
        <v>464.88804301212298</v>
      </c>
      <c r="M11" s="55">
        <v>143383.17000000001</v>
      </c>
    </row>
    <row r="12" spans="1:13" x14ac:dyDescent="0.15">
      <c r="A12" s="33" t="s">
        <v>8</v>
      </c>
      <c r="B12" s="28">
        <v>12.325277328491209</v>
      </c>
      <c r="D12" s="37" t="s">
        <v>25</v>
      </c>
      <c r="E12" s="38">
        <v>-16.600000000000001</v>
      </c>
      <c r="H12" s="48" t="s">
        <v>169</v>
      </c>
      <c r="I12" s="19">
        <v>13027.300607600486</v>
      </c>
      <c r="K12" s="45" t="s">
        <v>36</v>
      </c>
      <c r="L12" s="54">
        <v>463.9946184782649</v>
      </c>
      <c r="M12" s="55">
        <v>75299.805999999997</v>
      </c>
    </row>
    <row r="13" spans="1:13" x14ac:dyDescent="0.15">
      <c r="A13" s="33" t="s">
        <v>144</v>
      </c>
      <c r="B13" s="28">
        <v>12.10537719726563</v>
      </c>
      <c r="D13" s="37" t="s">
        <v>20</v>
      </c>
      <c r="E13" s="38">
        <v>-16.899999999999999</v>
      </c>
      <c r="H13" s="49" t="s">
        <v>43</v>
      </c>
      <c r="I13" s="19">
        <v>69287.536587951967</v>
      </c>
      <c r="K13" s="46" t="s">
        <v>153</v>
      </c>
      <c r="L13" s="54">
        <v>343.4691009767227</v>
      </c>
      <c r="M13" s="55">
        <v>15097.121776923963</v>
      </c>
    </row>
    <row r="14" spans="1:13" x14ac:dyDescent="0.15">
      <c r="A14" s="33" t="s">
        <v>30</v>
      </c>
      <c r="B14" s="28">
        <v>12.100664138793951</v>
      </c>
      <c r="D14" s="37" t="s">
        <v>151</v>
      </c>
      <c r="E14" s="38">
        <v>-17.399999999999999</v>
      </c>
      <c r="H14" s="49" t="s">
        <v>36</v>
      </c>
      <c r="I14" s="19">
        <v>33418.521834407547</v>
      </c>
      <c r="K14" s="45" t="s">
        <v>27</v>
      </c>
      <c r="L14" s="54">
        <v>483.15945520181771</v>
      </c>
      <c r="M14" s="55">
        <v>68784.493000000002</v>
      </c>
    </row>
    <row r="15" spans="1:13" x14ac:dyDescent="0.15">
      <c r="A15" s="33" t="s">
        <v>14</v>
      </c>
      <c r="B15" s="28">
        <v>11.670992851257321</v>
      </c>
      <c r="D15" s="37" t="s">
        <v>149</v>
      </c>
      <c r="E15" s="38">
        <v>-18</v>
      </c>
      <c r="H15" s="48" t="s">
        <v>153</v>
      </c>
      <c r="I15" s="19">
        <v>9981.8860196052919</v>
      </c>
      <c r="K15" s="45" t="s">
        <v>25</v>
      </c>
      <c r="L15" s="54">
        <v>535.5793059957158</v>
      </c>
      <c r="M15" s="55">
        <v>101399.34000000001</v>
      </c>
    </row>
    <row r="16" spans="1:13" x14ac:dyDescent="0.15">
      <c r="A16" s="33" t="s">
        <v>145</v>
      </c>
      <c r="B16" s="28">
        <v>11.40134429931641</v>
      </c>
      <c r="D16" s="37" t="s">
        <v>22</v>
      </c>
      <c r="E16" s="38">
        <v>-18.3</v>
      </c>
      <c r="H16" s="49" t="s">
        <v>27</v>
      </c>
      <c r="I16" s="19">
        <v>34257.981791964688</v>
      </c>
      <c r="K16" s="46" t="s">
        <v>164</v>
      </c>
      <c r="L16" s="54">
        <v>390.02422032168261</v>
      </c>
      <c r="M16" s="55">
        <v>14950.478863601509</v>
      </c>
    </row>
    <row r="17" spans="1:13" x14ac:dyDescent="0.15">
      <c r="A17" s="33" t="s">
        <v>18</v>
      </c>
      <c r="B17" s="28">
        <v>11.371500015258791</v>
      </c>
      <c r="D17" s="37" t="s">
        <v>145</v>
      </c>
      <c r="E17" s="38">
        <v>-18.7</v>
      </c>
      <c r="H17" s="49" t="s">
        <v>25</v>
      </c>
      <c r="I17" s="19">
        <v>42139.987292184698</v>
      </c>
      <c r="K17" s="46" t="s">
        <v>148</v>
      </c>
      <c r="L17" s="54">
        <v>408.71206639217019</v>
      </c>
      <c r="M17" s="55">
        <v>47187.106656826429</v>
      </c>
    </row>
    <row r="18" spans="1:13" x14ac:dyDescent="0.15">
      <c r="A18" s="33" t="s">
        <v>5</v>
      </c>
      <c r="B18" s="28">
        <v>11.37073230743408</v>
      </c>
      <c r="D18" s="37" t="s">
        <v>185</v>
      </c>
      <c r="E18" s="38">
        <v>-19</v>
      </c>
      <c r="H18" s="48" t="s">
        <v>164</v>
      </c>
      <c r="I18" s="19">
        <v>17013.566321082744</v>
      </c>
      <c r="K18" s="45" t="s">
        <v>41</v>
      </c>
      <c r="L18" s="54">
        <v>453.15176740183227</v>
      </c>
      <c r="M18" s="55">
        <v>46708.92</v>
      </c>
    </row>
    <row r="19" spans="1:13" x14ac:dyDescent="0.15">
      <c r="A19" s="33" t="s">
        <v>23</v>
      </c>
      <c r="B19" s="28">
        <v>11.21268272399902</v>
      </c>
      <c r="D19" s="37" t="s">
        <v>24</v>
      </c>
      <c r="E19" s="38">
        <v>-19.100000000000001</v>
      </c>
      <c r="H19" s="48" t="s">
        <v>148</v>
      </c>
      <c r="I19" s="19">
        <v>25048.723973928743</v>
      </c>
      <c r="K19" s="46" t="s">
        <v>168</v>
      </c>
      <c r="L19" s="54">
        <v>388.57550678326209</v>
      </c>
      <c r="M19" s="55">
        <v>33149.361261252547</v>
      </c>
    </row>
    <row r="20" spans="1:13" x14ac:dyDescent="0.15">
      <c r="A20" s="33" t="s">
        <v>146</v>
      </c>
      <c r="B20" s="28">
        <v>10.99594020843506</v>
      </c>
      <c r="D20" s="37" t="s">
        <v>18</v>
      </c>
      <c r="E20" s="38">
        <v>-19.399999999999999</v>
      </c>
      <c r="H20" s="49" t="s">
        <v>11</v>
      </c>
      <c r="I20" s="19">
        <v>22613.98137969663</v>
      </c>
      <c r="K20" s="46" t="s">
        <v>181</v>
      </c>
      <c r="L20" s="54">
        <v>547.09416438860569</v>
      </c>
      <c r="M20" s="55">
        <v>116619.51252604302</v>
      </c>
    </row>
    <row r="21" spans="1:13" x14ac:dyDescent="0.15">
      <c r="A21" s="33" t="s">
        <v>147</v>
      </c>
      <c r="B21" s="28">
        <v>10.94556331634521</v>
      </c>
      <c r="D21" s="37" t="s">
        <v>144</v>
      </c>
      <c r="E21" s="38">
        <v>-19.600000000000001</v>
      </c>
      <c r="H21" s="49" t="s">
        <v>41</v>
      </c>
      <c r="I21" s="19">
        <v>30444.387708474656</v>
      </c>
      <c r="K21" s="46" t="s">
        <v>175</v>
      </c>
      <c r="L21" s="54">
        <v>354.71971278885792</v>
      </c>
      <c r="M21" s="55">
        <v>11030.18811600532</v>
      </c>
    </row>
    <row r="22" spans="1:13" x14ac:dyDescent="0.15">
      <c r="A22" s="33" t="s">
        <v>148</v>
      </c>
      <c r="B22" s="28">
        <v>10.882222175598139</v>
      </c>
      <c r="D22" s="37" t="s">
        <v>17</v>
      </c>
      <c r="E22" s="38">
        <v>-20.2</v>
      </c>
      <c r="H22" s="48" t="s">
        <v>168</v>
      </c>
      <c r="I22" s="19">
        <v>18339.647582021043</v>
      </c>
      <c r="K22" s="46" t="s">
        <v>161</v>
      </c>
      <c r="L22" s="54">
        <v>364.76624069603258</v>
      </c>
      <c r="M22" s="55">
        <v>24900.754775013869</v>
      </c>
    </row>
    <row r="23" spans="1:13" x14ac:dyDescent="0.15">
      <c r="A23" s="33" t="s">
        <v>40</v>
      </c>
      <c r="B23" s="28">
        <v>10.881313323974609</v>
      </c>
      <c r="D23" s="37" t="s">
        <v>162</v>
      </c>
      <c r="E23" s="38">
        <v>-20.3</v>
      </c>
      <c r="H23" s="48" t="s">
        <v>181</v>
      </c>
      <c r="I23" s="19">
        <v>62696.144999999997</v>
      </c>
      <c r="K23" s="46" t="s">
        <v>177</v>
      </c>
      <c r="L23" s="54">
        <v>368.22171995104509</v>
      </c>
      <c r="M23" s="55">
        <v>21266.69568147777</v>
      </c>
    </row>
    <row r="24" spans="1:13" x14ac:dyDescent="0.15">
      <c r="A24" s="33" t="s">
        <v>31</v>
      </c>
      <c r="B24" s="28">
        <v>10.64958572387695</v>
      </c>
      <c r="D24" s="37" t="s">
        <v>6</v>
      </c>
      <c r="E24" s="38">
        <v>-20.3</v>
      </c>
      <c r="H24" s="48" t="s">
        <v>175</v>
      </c>
      <c r="I24" s="19">
        <v>8892.7893459997613</v>
      </c>
      <c r="K24" s="46" t="s">
        <v>162</v>
      </c>
      <c r="L24" s="54">
        <v>336.39604125930663</v>
      </c>
      <c r="M24" s="55">
        <v>668.60924295576729</v>
      </c>
    </row>
    <row r="25" spans="1:13" x14ac:dyDescent="0.15">
      <c r="A25" s="33" t="s">
        <v>35</v>
      </c>
      <c r="B25" s="28">
        <v>10.649422645568849</v>
      </c>
      <c r="D25" s="37" t="s">
        <v>14</v>
      </c>
      <c r="E25" s="38">
        <v>-20.7</v>
      </c>
      <c r="H25" s="48" t="s">
        <v>161</v>
      </c>
      <c r="I25" s="19">
        <v>8852.9140625</v>
      </c>
      <c r="K25" s="45" t="s">
        <v>32</v>
      </c>
      <c r="L25" s="54">
        <v>479.07419345237793</v>
      </c>
      <c r="M25" s="55">
        <v>82261.005000000005</v>
      </c>
    </row>
    <row r="26" spans="1:13" x14ac:dyDescent="0.15">
      <c r="A26" s="33" t="s">
        <v>32</v>
      </c>
      <c r="B26" s="28">
        <v>10.37150287628174</v>
      </c>
      <c r="D26" s="37" t="s">
        <v>35</v>
      </c>
      <c r="E26" s="38">
        <v>-20.9</v>
      </c>
      <c r="H26" s="48" t="s">
        <v>177</v>
      </c>
      <c r="I26" s="19">
        <v>15810.427432023716</v>
      </c>
      <c r="K26" s="45" t="s">
        <v>42</v>
      </c>
      <c r="L26" s="54">
        <v>488.97508506576361</v>
      </c>
      <c r="M26" s="55">
        <v>123983.36</v>
      </c>
    </row>
    <row r="27" spans="1:13" x14ac:dyDescent="0.15">
      <c r="A27" s="33" t="s">
        <v>149</v>
      </c>
      <c r="B27" s="28">
        <v>10.27108669281006</v>
      </c>
      <c r="D27" s="37" t="s">
        <v>5</v>
      </c>
      <c r="E27" s="38">
        <v>-21.5</v>
      </c>
      <c r="H27" s="48" t="s">
        <v>162</v>
      </c>
      <c r="I27" s="19">
        <v>4783.9036144440142</v>
      </c>
      <c r="K27" s="46" t="s">
        <v>152</v>
      </c>
      <c r="L27" s="54">
        <v>463.1051893674915</v>
      </c>
      <c r="M27" s="55">
        <v>75028.610919686049</v>
      </c>
    </row>
    <row r="28" spans="1:13" x14ac:dyDescent="0.15">
      <c r="A28" s="33" t="s">
        <v>38</v>
      </c>
      <c r="B28" s="28">
        <v>10.14812660217285</v>
      </c>
      <c r="D28" s="37" t="s">
        <v>142</v>
      </c>
      <c r="E28" s="38">
        <v>-21.6</v>
      </c>
      <c r="H28" s="49" t="s">
        <v>32</v>
      </c>
      <c r="I28" s="19">
        <v>46990.180115357849</v>
      </c>
      <c r="K28" s="45" t="s">
        <v>13</v>
      </c>
      <c r="L28" s="54">
        <v>486.99920785192438</v>
      </c>
      <c r="M28" s="55">
        <v>100835.2</v>
      </c>
    </row>
    <row r="29" spans="1:13" x14ac:dyDescent="0.15">
      <c r="A29" s="33" t="s">
        <v>17</v>
      </c>
      <c r="B29" s="28">
        <v>9.7898731231689453</v>
      </c>
      <c r="D29" s="37" t="s">
        <v>154</v>
      </c>
      <c r="E29" s="38">
        <v>-21.7</v>
      </c>
      <c r="H29" s="49" t="s">
        <v>42</v>
      </c>
      <c r="I29" s="19">
        <v>50809.569296403533</v>
      </c>
      <c r="K29" s="45" t="s">
        <v>10</v>
      </c>
      <c r="L29" s="54">
        <v>382.69683512956738</v>
      </c>
      <c r="M29" s="55">
        <v>37314.824999999997</v>
      </c>
    </row>
    <row r="30" spans="1:13" x14ac:dyDescent="0.15">
      <c r="A30" s="33" t="s">
        <v>27</v>
      </c>
      <c r="B30" s="28">
        <v>9.5042953491210938</v>
      </c>
      <c r="D30" s="37" t="s">
        <v>161</v>
      </c>
      <c r="E30" s="38">
        <v>-21.7</v>
      </c>
      <c r="H30" s="48" t="s">
        <v>152</v>
      </c>
      <c r="I30" s="19">
        <v>34535.019497795161</v>
      </c>
      <c r="K30" s="45" t="s">
        <v>7</v>
      </c>
      <c r="L30" s="54">
        <v>489.48681674494497</v>
      </c>
      <c r="M30" s="55">
        <v>130344.48</v>
      </c>
    </row>
    <row r="31" spans="1:13" x14ac:dyDescent="0.15">
      <c r="A31" s="33" t="s">
        <v>150</v>
      </c>
      <c r="B31" s="28">
        <v>9.0536785125732422</v>
      </c>
      <c r="D31" s="37" t="s">
        <v>169</v>
      </c>
      <c r="E31" s="38">
        <v>-22.9</v>
      </c>
      <c r="H31" s="49" t="s">
        <v>13</v>
      </c>
      <c r="I31" s="19">
        <v>45707.471137922344</v>
      </c>
      <c r="K31" s="46" t="s">
        <v>178</v>
      </c>
      <c r="L31" s="54">
        <v>551.92315306462206</v>
      </c>
      <c r="M31" s="55">
        <v>195581.04106020695</v>
      </c>
    </row>
    <row r="32" spans="1:13" x14ac:dyDescent="0.15">
      <c r="A32" s="33" t="s">
        <v>10</v>
      </c>
      <c r="B32" s="28">
        <v>8.9431600570678711</v>
      </c>
      <c r="D32" s="37" t="s">
        <v>23</v>
      </c>
      <c r="E32" s="38">
        <v>-23.1</v>
      </c>
      <c r="H32" s="48" t="s">
        <v>151</v>
      </c>
      <c r="I32" s="19">
        <v>16031.086172872525</v>
      </c>
      <c r="K32" s="46" t="s">
        <v>149</v>
      </c>
      <c r="L32" s="54">
        <v>469.40242748130407</v>
      </c>
      <c r="M32" s="55">
        <v>13773.122199284429</v>
      </c>
    </row>
    <row r="33" spans="1:13" x14ac:dyDescent="0.15">
      <c r="A33" s="33" t="s">
        <v>25</v>
      </c>
      <c r="B33" s="28">
        <v>8.9132423400878906</v>
      </c>
      <c r="D33" s="37" t="s">
        <v>40</v>
      </c>
      <c r="E33" s="38">
        <v>-23.8</v>
      </c>
      <c r="H33" s="49" t="s">
        <v>10</v>
      </c>
      <c r="I33" s="19">
        <v>16903.793882174508</v>
      </c>
      <c r="K33" s="46" t="s">
        <v>141</v>
      </c>
      <c r="L33" s="54">
        <v>391.23578464022938</v>
      </c>
      <c r="M33" s="55">
        <v>25275.541513921584</v>
      </c>
    </row>
    <row r="34" spans="1:13" x14ac:dyDescent="0.15">
      <c r="A34" s="33" t="s">
        <v>151</v>
      </c>
      <c r="B34" s="28">
        <v>8.1211576461791992</v>
      </c>
      <c r="D34" s="37" t="s">
        <v>150</v>
      </c>
      <c r="E34" s="38">
        <v>-24.2</v>
      </c>
      <c r="H34" s="48" t="s">
        <v>143</v>
      </c>
      <c r="I34" s="19">
        <v>9806.8282204491097</v>
      </c>
      <c r="K34" s="45" t="s">
        <v>14</v>
      </c>
      <c r="L34" s="54">
        <v>489.27387694241099</v>
      </c>
      <c r="M34" s="55">
        <v>130685.34000000001</v>
      </c>
    </row>
    <row r="35" spans="1:13" x14ac:dyDescent="0.15">
      <c r="A35" s="33" t="s">
        <v>7</v>
      </c>
      <c r="B35" s="28">
        <v>7.6425609588623047</v>
      </c>
      <c r="D35" s="37" t="s">
        <v>8</v>
      </c>
      <c r="E35" s="38">
        <v>-24.3</v>
      </c>
      <c r="H35" s="49" t="s">
        <v>7</v>
      </c>
      <c r="I35" s="19">
        <v>59372.88967586201</v>
      </c>
      <c r="K35" s="46" t="s">
        <v>145</v>
      </c>
      <c r="L35" s="54">
        <v>337.53975043615009</v>
      </c>
      <c r="M35" s="55">
        <v>18713.450937520258</v>
      </c>
    </row>
    <row r="36" spans="1:13" x14ac:dyDescent="0.15">
      <c r="A36" s="33" t="s">
        <v>13</v>
      </c>
      <c r="B36" s="28">
        <v>7.423832893371582</v>
      </c>
      <c r="D36" s="37" t="s">
        <v>165</v>
      </c>
      <c r="E36" s="38">
        <v>-24.7</v>
      </c>
      <c r="H36" s="48" t="s">
        <v>178</v>
      </c>
      <c r="I36" s="19">
        <v>71185.655641062578</v>
      </c>
      <c r="K36" s="46" t="s">
        <v>165</v>
      </c>
      <c r="L36" s="54">
        <v>424.59312854284468</v>
      </c>
      <c r="M36" s="55">
        <v>12575.67443568373</v>
      </c>
    </row>
    <row r="37" spans="1:13" x14ac:dyDescent="0.15">
      <c r="A37" s="33" t="s">
        <v>152</v>
      </c>
      <c r="B37" s="28">
        <v>6.4941873550415039</v>
      </c>
      <c r="D37" s="37" t="s">
        <v>41</v>
      </c>
      <c r="E37" s="38">
        <v>-24.8</v>
      </c>
      <c r="H37" s="48" t="s">
        <v>149</v>
      </c>
      <c r="I37" s="19">
        <v>11676.108560424951</v>
      </c>
      <c r="K37" s="46" t="s">
        <v>159</v>
      </c>
      <c r="L37" s="54">
        <v>425.43912883566293</v>
      </c>
      <c r="M37" s="55">
        <v>29807.379713810522</v>
      </c>
    </row>
    <row r="38" spans="1:13" x14ac:dyDescent="0.15">
      <c r="A38" s="33" t="s">
        <v>153</v>
      </c>
      <c r="B38" s="28">
        <v>6.4512238502502441</v>
      </c>
      <c r="D38" s="37" t="s">
        <v>38</v>
      </c>
      <c r="E38" s="38">
        <v>-25.3</v>
      </c>
      <c r="H38" s="48" t="s">
        <v>141</v>
      </c>
      <c r="I38" s="19">
        <v>13748.533615160923</v>
      </c>
      <c r="K38" s="45" t="s">
        <v>37</v>
      </c>
      <c r="L38" s="54">
        <v>484.52900864834987</v>
      </c>
      <c r="M38" s="55">
        <v>102335.925</v>
      </c>
    </row>
    <row r="39" spans="1:13" x14ac:dyDescent="0.15">
      <c r="A39" s="33" t="s">
        <v>15</v>
      </c>
      <c r="B39" s="28">
        <v>6.3189001083374023</v>
      </c>
      <c r="D39" s="37" t="s">
        <v>19</v>
      </c>
      <c r="E39" s="38">
        <v>-25.4</v>
      </c>
      <c r="H39" s="49" t="s">
        <v>14</v>
      </c>
      <c r="I39" s="19">
        <v>64672.225839090897</v>
      </c>
      <c r="K39" s="46" t="s">
        <v>144</v>
      </c>
      <c r="L39" s="54">
        <v>574.66381959322041</v>
      </c>
      <c r="M39" s="55">
        <v>166111.91788557978</v>
      </c>
    </row>
    <row r="40" spans="1:13" x14ac:dyDescent="0.15">
      <c r="A40" s="33" t="s">
        <v>154</v>
      </c>
      <c r="B40" s="28">
        <v>6.0417017936706543</v>
      </c>
      <c r="D40" s="37" t="s">
        <v>168</v>
      </c>
      <c r="E40" s="38">
        <v>-25.8</v>
      </c>
      <c r="H40" s="48" t="s">
        <v>145</v>
      </c>
      <c r="I40" s="19">
        <v>15037.189640949629</v>
      </c>
      <c r="K40" s="45" t="s">
        <v>21</v>
      </c>
      <c r="L40" s="54">
        <v>458.89644981037992</v>
      </c>
      <c r="M40" s="55">
        <v>149636.85999999999</v>
      </c>
    </row>
    <row r="41" spans="1:13" x14ac:dyDescent="0.15">
      <c r="A41" s="33" t="s">
        <v>19</v>
      </c>
      <c r="B41" s="28">
        <v>5.9097557067871094</v>
      </c>
      <c r="D41" s="37" t="s">
        <v>147</v>
      </c>
      <c r="E41" s="38">
        <v>-25.8</v>
      </c>
      <c r="H41" s="48" t="s">
        <v>165</v>
      </c>
      <c r="I41" s="19">
        <v>12818.879453007163</v>
      </c>
      <c r="K41" s="46" t="s">
        <v>185</v>
      </c>
      <c r="L41" s="54">
        <v>356.57350391859558</v>
      </c>
      <c r="M41" s="55">
        <v>62970.947305429465</v>
      </c>
    </row>
    <row r="42" spans="1:13" x14ac:dyDescent="0.15">
      <c r="A42" s="33" t="s">
        <v>41</v>
      </c>
      <c r="B42" s="28">
        <v>5.7430505752563477</v>
      </c>
      <c r="D42" s="37" t="s">
        <v>32</v>
      </c>
      <c r="E42" s="38">
        <v>-25.9</v>
      </c>
      <c r="H42" s="48" t="s">
        <v>159</v>
      </c>
      <c r="I42" s="19">
        <v>28684.898060035834</v>
      </c>
      <c r="K42" s="45" t="s">
        <v>24</v>
      </c>
      <c r="L42" s="54">
        <v>471.25947547628658</v>
      </c>
      <c r="M42" s="55">
        <v>105754.31999999999</v>
      </c>
    </row>
    <row r="43" spans="1:13" x14ac:dyDescent="0.15">
      <c r="A43" s="33" t="s">
        <v>34</v>
      </c>
      <c r="B43" s="28">
        <v>5.5164599418640137</v>
      </c>
      <c r="D43" s="37" t="s">
        <v>31</v>
      </c>
      <c r="E43" s="38">
        <v>-25.9</v>
      </c>
      <c r="H43" s="49" t="s">
        <v>37</v>
      </c>
      <c r="I43" s="19">
        <v>43804.816270256124</v>
      </c>
      <c r="K43" s="46" t="s">
        <v>146</v>
      </c>
      <c r="L43" s="54">
        <v>377.52902864845402</v>
      </c>
      <c r="M43" s="55">
        <v>42237.881363623397</v>
      </c>
    </row>
    <row r="44" spans="1:13" x14ac:dyDescent="0.15">
      <c r="A44" s="33" t="s">
        <v>28</v>
      </c>
      <c r="B44" s="28">
        <v>5.1497511863708496</v>
      </c>
      <c r="D44" s="37" t="s">
        <v>155</v>
      </c>
      <c r="E44" s="38">
        <v>-26.4</v>
      </c>
      <c r="H44" s="48" t="s">
        <v>144</v>
      </c>
      <c r="I44" s="19">
        <v>116486.47321140885</v>
      </c>
      <c r="K44" s="45" t="s">
        <v>39</v>
      </c>
      <c r="L44" s="54">
        <v>481.76606539700742</v>
      </c>
      <c r="M44" s="55">
        <v>133024.97</v>
      </c>
    </row>
    <row r="45" spans="1:13" x14ac:dyDescent="0.15">
      <c r="A45" s="33" t="s">
        <v>26</v>
      </c>
      <c r="B45" s="28">
        <v>5.08001708984375</v>
      </c>
      <c r="D45" s="37" t="s">
        <v>167</v>
      </c>
      <c r="E45" s="38">
        <v>-26.7</v>
      </c>
      <c r="H45" s="49" t="s">
        <v>21</v>
      </c>
      <c r="I45" s="19">
        <v>57967.283674222323</v>
      </c>
      <c r="K45" s="45" t="s">
        <v>5</v>
      </c>
      <c r="L45" s="54">
        <v>487.08425351213077</v>
      </c>
      <c r="M45" s="55">
        <v>126020.06</v>
      </c>
    </row>
    <row r="46" spans="1:13" x14ac:dyDescent="0.15">
      <c r="A46" s="33" t="s">
        <v>155</v>
      </c>
      <c r="B46" s="28">
        <v>5.0645780563354492</v>
      </c>
      <c r="D46" s="37" t="s">
        <v>15</v>
      </c>
      <c r="E46" s="38">
        <v>-26.7</v>
      </c>
      <c r="H46" s="48" t="s">
        <v>185</v>
      </c>
      <c r="I46" s="19">
        <v>31900.941747265511</v>
      </c>
      <c r="K46" s="46" t="s">
        <v>183</v>
      </c>
      <c r="L46" s="54">
        <v>396.88229287083971</v>
      </c>
      <c r="M46" s="55">
        <v>16237.486032108109</v>
      </c>
    </row>
    <row r="47" spans="1:13" x14ac:dyDescent="0.15">
      <c r="A47" s="33" t="s">
        <v>156</v>
      </c>
      <c r="B47" s="28">
        <v>3.750418901443481</v>
      </c>
      <c r="D47" s="37" t="s">
        <v>159</v>
      </c>
      <c r="E47" s="38">
        <v>-27.4</v>
      </c>
      <c r="H47" s="49" t="s">
        <v>24</v>
      </c>
      <c r="I47" s="19">
        <v>46373.51550707654</v>
      </c>
      <c r="K47" s="45" t="s">
        <v>19</v>
      </c>
      <c r="L47" s="54">
        <v>430.1463218532806</v>
      </c>
      <c r="M47" s="55">
        <v>71509.490000000005</v>
      </c>
    </row>
    <row r="48" spans="1:13" x14ac:dyDescent="0.15">
      <c r="A48" s="33" t="s">
        <v>185</v>
      </c>
      <c r="B48" s="28">
        <v>3.6611564159393311</v>
      </c>
      <c r="D48" s="37" t="s">
        <v>7</v>
      </c>
      <c r="E48" s="38">
        <v>-27.5</v>
      </c>
      <c r="H48" s="48" t="s">
        <v>146</v>
      </c>
      <c r="I48" s="19">
        <v>23649.670296221033</v>
      </c>
      <c r="K48" s="46" t="s">
        <v>163</v>
      </c>
      <c r="L48" s="54">
        <v>339.10724673258602</v>
      </c>
      <c r="M48" s="55">
        <v>46517.008971042596</v>
      </c>
    </row>
    <row r="49" spans="1:13" x14ac:dyDescent="0.15">
      <c r="A49" s="33" t="s">
        <v>21</v>
      </c>
      <c r="B49" s="28">
        <v>3.399434089660645</v>
      </c>
      <c r="D49" s="37" t="s">
        <v>27</v>
      </c>
      <c r="E49" s="38">
        <v>-27.6</v>
      </c>
      <c r="H49" s="49" t="s">
        <v>39</v>
      </c>
      <c r="I49" s="19">
        <v>59222.633648202114</v>
      </c>
      <c r="K49" s="46" t="s">
        <v>191</v>
      </c>
      <c r="L49" s="54">
        <v>418.30668002350973</v>
      </c>
      <c r="M49" s="55">
        <v>148201.62658926781</v>
      </c>
    </row>
    <row r="50" spans="1:13" x14ac:dyDescent="0.15">
      <c r="A50" s="33" t="s">
        <v>39</v>
      </c>
      <c r="B50" s="28">
        <v>2.1699213981628418</v>
      </c>
      <c r="D50" s="37" t="s">
        <v>34</v>
      </c>
      <c r="E50" s="38">
        <v>-28.6</v>
      </c>
      <c r="H50" s="49" t="s">
        <v>5</v>
      </c>
      <c r="I50" s="19">
        <v>55949.216640699924</v>
      </c>
      <c r="K50" s="45" t="s">
        <v>30</v>
      </c>
      <c r="L50" s="54">
        <v>395.02991921871018</v>
      </c>
      <c r="M50" s="55">
        <v>28903.027000000002</v>
      </c>
    </row>
    <row r="51" spans="1:13" x14ac:dyDescent="0.15">
      <c r="A51" s="33" t="s">
        <v>157</v>
      </c>
      <c r="B51" s="28">
        <v>1.9168640375137329</v>
      </c>
      <c r="D51" s="37" t="s">
        <v>13</v>
      </c>
      <c r="E51" s="38">
        <v>-29.1</v>
      </c>
      <c r="H51" s="48" t="s">
        <v>183</v>
      </c>
      <c r="I51" s="19">
        <v>15854.550838253266</v>
      </c>
      <c r="K51" s="45" t="s">
        <v>9</v>
      </c>
      <c r="L51" s="54">
        <v>411.69657070809609</v>
      </c>
      <c r="M51" s="55">
        <v>60626.793999999994</v>
      </c>
    </row>
    <row r="52" spans="1:13" x14ac:dyDescent="0.15">
      <c r="A52" s="33" t="s">
        <v>158</v>
      </c>
      <c r="B52" s="28">
        <v>1.488423347473145</v>
      </c>
      <c r="D52" s="37" t="s">
        <v>36</v>
      </c>
      <c r="E52" s="38">
        <v>-29.6</v>
      </c>
      <c r="H52" s="49" t="s">
        <v>19</v>
      </c>
      <c r="I52" s="19">
        <v>31485.886890085323</v>
      </c>
      <c r="K52" s="45" t="s">
        <v>33</v>
      </c>
      <c r="L52" s="54">
        <v>468.44994989168748</v>
      </c>
      <c r="M52" s="55">
        <v>153335.4</v>
      </c>
    </row>
    <row r="53" spans="1:13" x14ac:dyDescent="0.15">
      <c r="A53" s="33" t="s">
        <v>36</v>
      </c>
      <c r="B53" s="28">
        <v>1.3687562942504881</v>
      </c>
      <c r="D53" s="37" t="s">
        <v>156</v>
      </c>
      <c r="E53" s="38">
        <v>-30.4</v>
      </c>
      <c r="H53" s="48" t="s">
        <v>163</v>
      </c>
      <c r="I53" s="19">
        <v>20462.517130104745</v>
      </c>
      <c r="K53" s="45" t="s">
        <v>28</v>
      </c>
      <c r="L53" s="54">
        <v>475.14676197725709</v>
      </c>
      <c r="M53" s="55">
        <v>72114.251000000004</v>
      </c>
    </row>
    <row r="54" spans="1:13" x14ac:dyDescent="0.15">
      <c r="A54" s="33" t="s">
        <v>159</v>
      </c>
      <c r="B54" s="28">
        <v>-0.21031992137432101</v>
      </c>
      <c r="D54" s="37" t="s">
        <v>28</v>
      </c>
      <c r="E54" s="38">
        <v>-30.8</v>
      </c>
      <c r="H54" s="48" t="s">
        <v>191</v>
      </c>
      <c r="I54" s="19">
        <v>44393.76171875</v>
      </c>
      <c r="K54" s="46" t="s">
        <v>172</v>
      </c>
      <c r="L54" s="54">
        <v>408.6874321942563</v>
      </c>
      <c r="M54" s="55">
        <v>50697.489269300771</v>
      </c>
    </row>
    <row r="55" spans="1:13" x14ac:dyDescent="0.15">
      <c r="A55" s="33" t="s">
        <v>160</v>
      </c>
      <c r="B55" s="28">
        <v>-0.33022946119308472</v>
      </c>
      <c r="D55" s="37" t="s">
        <v>172</v>
      </c>
      <c r="E55" s="38">
        <v>-31</v>
      </c>
      <c r="H55" s="49" t="s">
        <v>30</v>
      </c>
      <c r="I55" s="19">
        <v>19584.671719372316</v>
      </c>
      <c r="K55" s="45" t="s">
        <v>23</v>
      </c>
      <c r="L55" s="54">
        <v>457.89666659331527</v>
      </c>
      <c r="M55" s="55">
        <v>94352.822000000015</v>
      </c>
    </row>
    <row r="56" spans="1:13" x14ac:dyDescent="0.15">
      <c r="A56" s="33" t="s">
        <v>33</v>
      </c>
      <c r="B56" s="28">
        <v>-0.65984660387039185</v>
      </c>
      <c r="D56" s="37" t="s">
        <v>157</v>
      </c>
      <c r="E56" s="38">
        <v>-32.700000000000003</v>
      </c>
      <c r="H56" s="49" t="s">
        <v>9</v>
      </c>
      <c r="I56" s="19">
        <v>28372.039569381031</v>
      </c>
      <c r="K56" s="46" t="s">
        <v>179</v>
      </c>
      <c r="L56" s="54">
        <v>440.84530888926417</v>
      </c>
      <c r="M56" s="55">
        <v>37798.373638708093</v>
      </c>
    </row>
    <row r="57" spans="1:13" x14ac:dyDescent="0.15">
      <c r="A57" s="33" t="s">
        <v>37</v>
      </c>
      <c r="B57" s="28">
        <v>-1.7013248205184941</v>
      </c>
      <c r="D57" s="37" t="s">
        <v>166</v>
      </c>
      <c r="E57" s="38">
        <v>-33.299999999999997</v>
      </c>
      <c r="H57" s="49" t="s">
        <v>33</v>
      </c>
      <c r="I57" s="19">
        <v>80534.610693381677</v>
      </c>
      <c r="K57" s="45" t="s">
        <v>22</v>
      </c>
      <c r="L57" s="54">
        <v>491.64827959188278</v>
      </c>
      <c r="M57" s="55">
        <v>94167.038</v>
      </c>
    </row>
    <row r="58" spans="1:13" x14ac:dyDescent="0.15">
      <c r="A58" s="33" t="s">
        <v>161</v>
      </c>
      <c r="B58" s="28">
        <v>-3.759238481521606</v>
      </c>
      <c r="D58" s="37" t="s">
        <v>163</v>
      </c>
      <c r="E58" s="38">
        <v>-33.799999999999997</v>
      </c>
      <c r="H58" s="49" t="s">
        <v>28</v>
      </c>
      <c r="I58" s="19">
        <v>43184.994060046622</v>
      </c>
      <c r="K58" s="45" t="s">
        <v>20</v>
      </c>
      <c r="L58" s="54">
        <v>472.77612237193978</v>
      </c>
      <c r="M58" s="55">
        <v>78968.656000000003</v>
      </c>
    </row>
    <row r="59" spans="1:13" x14ac:dyDescent="0.15">
      <c r="A59" s="33" t="s">
        <v>162</v>
      </c>
      <c r="B59" s="28">
        <v>-3.974760770797729</v>
      </c>
      <c r="D59" s="37" t="s">
        <v>152</v>
      </c>
      <c r="E59" s="38">
        <v>-33.799999999999997</v>
      </c>
      <c r="H59" s="48" t="s">
        <v>170</v>
      </c>
      <c r="I59" s="19">
        <v>76609.197999920361</v>
      </c>
      <c r="K59" s="46" t="s">
        <v>171</v>
      </c>
      <c r="L59" s="54">
        <v>414.1062217855216</v>
      </c>
      <c r="M59" s="55">
        <v>157277.65325538898</v>
      </c>
    </row>
    <row r="60" spans="1:13" x14ac:dyDescent="0.15">
      <c r="A60" s="33" t="s">
        <v>163</v>
      </c>
      <c r="B60" s="28">
        <v>-4.2418117523193359</v>
      </c>
      <c r="D60" s="37" t="s">
        <v>173</v>
      </c>
      <c r="E60" s="38">
        <v>-33.9</v>
      </c>
      <c r="H60" s="48" t="s">
        <v>167</v>
      </c>
      <c r="I60" s="19">
        <v>18760.755221871794</v>
      </c>
      <c r="K60" s="46" t="s">
        <v>154</v>
      </c>
      <c r="L60" s="54">
        <v>363.93537468143262</v>
      </c>
      <c r="M60" s="55">
        <v>15285.582435251261</v>
      </c>
    </row>
    <row r="61" spans="1:13" x14ac:dyDescent="0.15">
      <c r="A61" s="33" t="s">
        <v>16</v>
      </c>
      <c r="B61" s="28">
        <v>-5.0681619644165039</v>
      </c>
      <c r="D61" s="37" t="s">
        <v>26</v>
      </c>
      <c r="E61" s="38">
        <v>-34.200000000000003</v>
      </c>
      <c r="H61" s="48" t="s">
        <v>172</v>
      </c>
      <c r="I61" s="19">
        <v>28929.47419955338</v>
      </c>
      <c r="K61" s="46" t="s">
        <v>155</v>
      </c>
      <c r="L61" s="54">
        <v>427.75999666897269</v>
      </c>
      <c r="M61" s="55">
        <v>38884.0152488085</v>
      </c>
    </row>
    <row r="62" spans="1:13" x14ac:dyDescent="0.15">
      <c r="A62" s="33" t="s">
        <v>164</v>
      </c>
      <c r="B62" s="28">
        <v>-5.2830314636230469</v>
      </c>
      <c r="D62" s="37" t="s">
        <v>175</v>
      </c>
      <c r="E62" s="38">
        <v>-34.6</v>
      </c>
      <c r="H62" s="49" t="s">
        <v>23</v>
      </c>
      <c r="I62" s="19">
        <v>43450.550741679202</v>
      </c>
      <c r="K62" s="45" t="s">
        <v>6</v>
      </c>
      <c r="L62" s="54">
        <v>487.26749896735731</v>
      </c>
      <c r="M62" s="55">
        <v>154067.1</v>
      </c>
    </row>
    <row r="63" spans="1:13" x14ac:dyDescent="0.15">
      <c r="A63" s="33" t="s">
        <v>165</v>
      </c>
      <c r="B63" s="28">
        <v>-5.5746569633483887</v>
      </c>
      <c r="D63" s="37" t="s">
        <v>164</v>
      </c>
      <c r="E63" s="38">
        <v>-34.700000000000003</v>
      </c>
      <c r="H63" s="48" t="s">
        <v>179</v>
      </c>
      <c r="I63" s="19">
        <v>14219.7900390625</v>
      </c>
      <c r="K63" s="45" t="s">
        <v>34</v>
      </c>
      <c r="L63" s="54">
        <v>488.96005376370152</v>
      </c>
      <c r="M63" s="55">
        <v>87741.195999999996</v>
      </c>
    </row>
    <row r="64" spans="1:13" x14ac:dyDescent="0.15">
      <c r="A64" s="33" t="s">
        <v>166</v>
      </c>
      <c r="B64" s="28">
        <v>-5.6613903045654297</v>
      </c>
      <c r="D64" s="37" t="s">
        <v>189</v>
      </c>
      <c r="E64" s="38">
        <v>-35.200000000000003</v>
      </c>
      <c r="H64" s="49" t="s">
        <v>22</v>
      </c>
      <c r="I64" s="19">
        <v>105355.19861452862</v>
      </c>
      <c r="K64" s="46" t="s">
        <v>189</v>
      </c>
      <c r="L64" s="54">
        <v>377.41693921863492</v>
      </c>
      <c r="M64" s="55">
        <v>21848.907241143843</v>
      </c>
    </row>
    <row r="65" spans="1:13" x14ac:dyDescent="0.15">
      <c r="A65" s="33" t="s">
        <v>167</v>
      </c>
      <c r="B65" s="28">
        <v>-5.9945845603942871</v>
      </c>
      <c r="D65" s="37" t="s">
        <v>21</v>
      </c>
      <c r="E65" s="38">
        <v>-35.5</v>
      </c>
      <c r="H65" s="49" t="s">
        <v>20</v>
      </c>
      <c r="I65" s="19">
        <v>36765.035165067457</v>
      </c>
      <c r="K65" s="46" t="s">
        <v>166</v>
      </c>
      <c r="L65" s="54">
        <v>417.30390037486819</v>
      </c>
      <c r="M65" s="55">
        <v>54197.942948147473</v>
      </c>
    </row>
    <row r="66" spans="1:13" x14ac:dyDescent="0.15">
      <c r="A66" s="33" t="s">
        <v>168</v>
      </c>
      <c r="B66" s="28">
        <v>-6.3771429061889648</v>
      </c>
      <c r="D66" s="37" t="s">
        <v>160</v>
      </c>
      <c r="E66" s="38">
        <v>-35.700000000000003</v>
      </c>
      <c r="H66" s="48" t="s">
        <v>171</v>
      </c>
      <c r="I66" s="19">
        <v>102018.11594146425</v>
      </c>
      <c r="K66" s="46" t="s">
        <v>158</v>
      </c>
      <c r="L66" s="54">
        <v>466.01611291105678</v>
      </c>
      <c r="M66" s="55">
        <v>148489.3110341914</v>
      </c>
    </row>
    <row r="67" spans="1:13" x14ac:dyDescent="0.15">
      <c r="A67" s="33" t="s">
        <v>169</v>
      </c>
      <c r="B67" s="28">
        <v>-6.386533260345459</v>
      </c>
      <c r="D67" s="37" t="s">
        <v>39</v>
      </c>
      <c r="E67" s="38">
        <v>-36.700000000000003</v>
      </c>
      <c r="H67" s="48" t="s">
        <v>154</v>
      </c>
      <c r="I67" s="19">
        <v>8497.4483075116732</v>
      </c>
      <c r="K67" s="45" t="s">
        <v>35</v>
      </c>
      <c r="L67" s="54">
        <v>471.91052210574861</v>
      </c>
      <c r="M67" s="55">
        <v>98982.971999999994</v>
      </c>
    </row>
    <row r="68" spans="1:13" x14ac:dyDescent="0.15">
      <c r="A68" s="33" t="s">
        <v>170</v>
      </c>
      <c r="B68" s="28">
        <v>-7.0929179191589364</v>
      </c>
      <c r="D68" s="37" t="s">
        <v>158</v>
      </c>
      <c r="E68" s="38">
        <v>-38.799999999999997</v>
      </c>
      <c r="H68" s="48" t="s">
        <v>155</v>
      </c>
      <c r="I68" s="19">
        <v>36100.653532068762</v>
      </c>
      <c r="K68" s="45" t="s">
        <v>8</v>
      </c>
      <c r="L68" s="54">
        <v>496.94789443570392</v>
      </c>
      <c r="M68" s="55">
        <v>121678.16</v>
      </c>
    </row>
    <row r="69" spans="1:13" x14ac:dyDescent="0.15">
      <c r="A69" s="33" t="s">
        <v>171</v>
      </c>
      <c r="B69" s="28">
        <v>-7.9403786659240723</v>
      </c>
      <c r="D69" s="37" t="s">
        <v>177</v>
      </c>
      <c r="E69" s="38">
        <v>-40.1</v>
      </c>
      <c r="H69" s="49" t="s">
        <v>6</v>
      </c>
      <c r="I69" s="19">
        <v>59537.539795822944</v>
      </c>
      <c r="K69" s="46" t="s">
        <v>176</v>
      </c>
      <c r="L69" s="54">
        <v>361.22802836657849</v>
      </c>
      <c r="M69" s="55">
        <v>20947.343901623899</v>
      </c>
    </row>
    <row r="70" spans="1:13" x14ac:dyDescent="0.15">
      <c r="A70" s="33" t="s">
        <v>172</v>
      </c>
      <c r="B70" s="28">
        <v>-10.45310211181641</v>
      </c>
      <c r="D70" s="37" t="s">
        <v>171</v>
      </c>
      <c r="E70" s="38">
        <v>-40.200000000000003</v>
      </c>
      <c r="H70" s="49" t="s">
        <v>40</v>
      </c>
      <c r="I70" s="19">
        <v>77120.555350817915</v>
      </c>
      <c r="K70" s="45" t="s">
        <v>17</v>
      </c>
      <c r="L70" s="54">
        <v>473.94441842059842</v>
      </c>
      <c r="M70" s="55">
        <v>109584.315</v>
      </c>
    </row>
    <row r="71" spans="1:13" x14ac:dyDescent="0.15">
      <c r="A71" s="33" t="s">
        <v>173</v>
      </c>
      <c r="B71" s="28">
        <v>-11.278757095336911</v>
      </c>
      <c r="D71" s="37" t="s">
        <v>33</v>
      </c>
      <c r="E71" s="38">
        <v>-41.7</v>
      </c>
      <c r="H71" s="49" t="s">
        <v>34</v>
      </c>
      <c r="I71" s="19">
        <v>38125.191470514459</v>
      </c>
      <c r="K71" s="45" t="s">
        <v>38</v>
      </c>
      <c r="L71" s="54">
        <v>473.14020802460692</v>
      </c>
      <c r="M71" s="55">
        <v>93094.233999999997</v>
      </c>
    </row>
    <row r="72" spans="1:13" ht="14" thickBot="1" x14ac:dyDescent="0.2">
      <c r="A72" s="33" t="s">
        <v>174</v>
      </c>
      <c r="B72" s="28">
        <v>-13.453830718994141</v>
      </c>
      <c r="D72" s="37" t="s">
        <v>37</v>
      </c>
      <c r="E72" s="38">
        <v>-43.7</v>
      </c>
      <c r="H72" s="48" t="s">
        <v>189</v>
      </c>
      <c r="I72" s="19">
        <v>10542.737785594341</v>
      </c>
      <c r="K72" s="47" t="s">
        <v>26</v>
      </c>
      <c r="L72" s="56">
        <v>527.30250178045833</v>
      </c>
      <c r="M72" s="57">
        <v>144484.99</v>
      </c>
    </row>
    <row r="73" spans="1:13" x14ac:dyDescent="0.15">
      <c r="A73" s="33" t="s">
        <v>175</v>
      </c>
      <c r="B73" s="28">
        <v>-14.181674957275391</v>
      </c>
      <c r="D73" s="37" t="s">
        <v>170</v>
      </c>
      <c r="E73" s="38">
        <v>-44.5</v>
      </c>
      <c r="H73" s="49" t="s">
        <v>15</v>
      </c>
      <c r="I73" s="19">
        <v>42380.967545316598</v>
      </c>
      <c r="K73" s="58" t="s">
        <v>150</v>
      </c>
      <c r="L73" s="59">
        <v>472.35764992289683</v>
      </c>
      <c r="M73" s="59">
        <v>102611.91850000001</v>
      </c>
    </row>
    <row r="74" spans="1:13" x14ac:dyDescent="0.15">
      <c r="A74" s="33" t="s">
        <v>176</v>
      </c>
      <c r="B74" s="28">
        <v>-14.983642578125</v>
      </c>
      <c r="D74" s="37" t="s">
        <v>16</v>
      </c>
      <c r="E74" s="38">
        <v>-44.7</v>
      </c>
      <c r="H74" s="48" t="s">
        <v>166</v>
      </c>
      <c r="I74" s="19">
        <v>28105.968631361899</v>
      </c>
    </row>
    <row r="75" spans="1:13" x14ac:dyDescent="0.15">
      <c r="A75" s="33" t="s">
        <v>177</v>
      </c>
      <c r="B75" s="28">
        <v>-19.052194595336911</v>
      </c>
      <c r="D75" s="37" t="s">
        <v>176</v>
      </c>
      <c r="E75" s="38">
        <v>-46.1</v>
      </c>
      <c r="H75" s="48" t="s">
        <v>158</v>
      </c>
      <c r="I75" s="19">
        <v>48894.342042239477</v>
      </c>
    </row>
    <row r="76" spans="1:13" x14ac:dyDescent="0.15">
      <c r="A76" s="33"/>
      <c r="B76" s="28">
        <v>0</v>
      </c>
      <c r="D76" s="37"/>
      <c r="E76" s="38">
        <v>0</v>
      </c>
      <c r="H76" s="49" t="s">
        <v>35</v>
      </c>
      <c r="I76" s="19">
        <v>36037.957784434271</v>
      </c>
    </row>
    <row r="77" spans="1:13" x14ac:dyDescent="0.15">
      <c r="A77" s="33" t="s">
        <v>178</v>
      </c>
      <c r="B77" s="28">
        <v>15.467555046081539</v>
      </c>
      <c r="D77" s="37" t="s">
        <v>178</v>
      </c>
      <c r="E77" s="38">
        <v>-14.4</v>
      </c>
      <c r="H77" s="49" t="s">
        <v>8</v>
      </c>
      <c r="I77" s="19">
        <v>52789.675434009012</v>
      </c>
    </row>
    <row r="78" spans="1:13" x14ac:dyDescent="0.15">
      <c r="A78" s="33" t="s">
        <v>179</v>
      </c>
      <c r="B78" s="28">
        <v>9.9234113693237305</v>
      </c>
      <c r="D78" s="37" t="s">
        <v>180</v>
      </c>
      <c r="E78" s="38">
        <v>-22.9</v>
      </c>
      <c r="H78" s="48" t="s">
        <v>176</v>
      </c>
      <c r="I78" s="19">
        <v>10132.503879203872</v>
      </c>
    </row>
    <row r="79" spans="1:13" x14ac:dyDescent="0.15">
      <c r="A79" s="33" t="s">
        <v>180</v>
      </c>
      <c r="B79" s="28">
        <v>8.7238187789916992</v>
      </c>
      <c r="D79" s="37" t="s">
        <v>179</v>
      </c>
      <c r="E79" s="38">
        <v>-23.2</v>
      </c>
      <c r="H79" s="48" t="s">
        <v>160</v>
      </c>
      <c r="I79" s="19">
        <v>23434.532621602943</v>
      </c>
    </row>
    <row r="80" spans="1:13" x14ac:dyDescent="0.15">
      <c r="A80" s="33" t="s">
        <v>181</v>
      </c>
      <c r="B80" s="28">
        <v>5.6302247047424316</v>
      </c>
      <c r="D80" s="37" t="s">
        <v>182</v>
      </c>
      <c r="E80" s="38">
        <v>-25</v>
      </c>
      <c r="H80" s="49" t="s">
        <v>17</v>
      </c>
      <c r="I80" s="19">
        <v>50996.43717374852</v>
      </c>
    </row>
    <row r="81" spans="1:9" x14ac:dyDescent="0.15">
      <c r="A81" s="33" t="s">
        <v>182</v>
      </c>
      <c r="B81" s="28">
        <v>0.39665383100509638</v>
      </c>
      <c r="D81" s="37" t="s">
        <v>181</v>
      </c>
      <c r="E81" s="38">
        <v>-26.9</v>
      </c>
      <c r="H81" s="49" t="s">
        <v>38</v>
      </c>
      <c r="I81" s="19">
        <v>40591.75931734981</v>
      </c>
    </row>
    <row r="82" spans="1:9" x14ac:dyDescent="0.15">
      <c r="A82" s="33" t="s">
        <v>183</v>
      </c>
      <c r="B82" s="28">
        <v>-7.0537700653076172</v>
      </c>
      <c r="D82" s="37" t="s">
        <v>183</v>
      </c>
      <c r="E82" s="38">
        <v>-37.5</v>
      </c>
      <c r="H82" s="49" t="s">
        <v>26</v>
      </c>
      <c r="I82" s="19">
        <v>46888.791402967763</v>
      </c>
    </row>
    <row r="83" spans="1:9" ht="14" thickBot="1" x14ac:dyDescent="0.2">
      <c r="A83" s="34" t="s">
        <v>184</v>
      </c>
      <c r="B83" s="29">
        <v>-15.561196327209471</v>
      </c>
      <c r="D83" s="37" t="s">
        <v>184</v>
      </c>
      <c r="E83" s="38">
        <v>-49.4</v>
      </c>
      <c r="H83" s="48" t="s">
        <v>150</v>
      </c>
      <c r="I83" s="19">
        <v>48388.078455760813</v>
      </c>
    </row>
    <row r="84" spans="1:9" x14ac:dyDescent="0.15">
      <c r="A84" s="30" t="s">
        <v>140</v>
      </c>
      <c r="B84" s="31" t="s">
        <v>140</v>
      </c>
      <c r="D84" s="39"/>
      <c r="E84" s="40"/>
    </row>
    <row r="85" spans="1:9" x14ac:dyDescent="0.15">
      <c r="A85" s="30" t="s">
        <v>140</v>
      </c>
      <c r="B85" s="31" t="s">
        <v>140</v>
      </c>
      <c r="D85" s="41"/>
      <c r="E85" s="42"/>
    </row>
    <row r="86" spans="1:9" x14ac:dyDescent="0.15">
      <c r="A86" s="30" t="s">
        <v>140</v>
      </c>
      <c r="B86" s="31" t="s">
        <v>140</v>
      </c>
      <c r="D86" s="41"/>
      <c r="E86" s="42"/>
    </row>
    <row r="87" spans="1:9" x14ac:dyDescent="0.15">
      <c r="A87" s="30" t="s">
        <v>140</v>
      </c>
      <c r="B87" s="31" t="s">
        <v>140</v>
      </c>
      <c r="D87" s="41"/>
      <c r="E87" s="42"/>
    </row>
    <row r="88" spans="1:9" x14ac:dyDescent="0.15">
      <c r="A88" s="30" t="s">
        <v>140</v>
      </c>
      <c r="B88" s="31" t="s">
        <v>140</v>
      </c>
      <c r="D88" s="41"/>
      <c r="E88" s="42"/>
    </row>
    <row r="89" spans="1:9" x14ac:dyDescent="0.15">
      <c r="A89" s="30" t="s">
        <v>140</v>
      </c>
      <c r="B89" s="31" t="s">
        <v>140</v>
      </c>
      <c r="D89" s="41"/>
      <c r="E89" s="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023E-1CC1-B34C-B5CD-91409EB8B1AD}">
  <dimension ref="A1:K211"/>
  <sheetViews>
    <sheetView topLeftCell="A179" workbookViewId="0">
      <selection activeCell="A216" sqref="A216"/>
    </sheetView>
  </sheetViews>
  <sheetFormatPr baseColWidth="10" defaultRowHeight="13" x14ac:dyDescent="0.15"/>
  <cols>
    <col min="1" max="1" width="45.6640625" bestFit="1" customWidth="1"/>
    <col min="2" max="2" width="5.33203125" bestFit="1" customWidth="1"/>
    <col min="3" max="3" width="45.83203125" bestFit="1" customWidth="1"/>
    <col min="4" max="4" width="29.33203125" bestFit="1" customWidth="1"/>
    <col min="5" max="5" width="32" bestFit="1" customWidth="1"/>
    <col min="6" max="6" width="43.33203125" bestFit="1" customWidth="1"/>
    <col min="7" max="7" width="46.83203125" bestFit="1" customWidth="1"/>
    <col min="8" max="8" width="46.5" bestFit="1" customWidth="1"/>
    <col min="9" max="9" width="45.83203125" bestFit="1" customWidth="1"/>
    <col min="10" max="10" width="49.5" bestFit="1" customWidth="1"/>
    <col min="11" max="11" width="49.1640625" bestFit="1" customWidth="1"/>
  </cols>
  <sheetData>
    <row r="1" spans="1:11" x14ac:dyDescent="0.15">
      <c r="A1" s="60" t="s">
        <v>133</v>
      </c>
      <c r="B1" s="61" t="s">
        <v>199</v>
      </c>
      <c r="C1" s="61" t="s">
        <v>200</v>
      </c>
      <c r="D1" s="61" t="s">
        <v>201</v>
      </c>
      <c r="E1" s="61" t="s">
        <v>202</v>
      </c>
      <c r="F1" s="61" t="s">
        <v>203</v>
      </c>
      <c r="G1" s="61" t="s">
        <v>204</v>
      </c>
      <c r="H1" s="61" t="s">
        <v>205</v>
      </c>
      <c r="I1" s="61" t="s">
        <v>206</v>
      </c>
      <c r="J1" s="61" t="s">
        <v>207</v>
      </c>
      <c r="K1" s="61" t="s">
        <v>208</v>
      </c>
    </row>
    <row r="2" spans="1:11" x14ac:dyDescent="0.15">
      <c r="A2" s="60" t="s">
        <v>209</v>
      </c>
      <c r="B2" s="61" t="s">
        <v>210</v>
      </c>
      <c r="C2" s="61">
        <v>57</v>
      </c>
      <c r="D2" s="61">
        <v>35</v>
      </c>
      <c r="E2" s="61">
        <v>22</v>
      </c>
      <c r="F2" s="61">
        <v>23</v>
      </c>
      <c r="G2" s="61">
        <v>9</v>
      </c>
      <c r="H2" s="61">
        <v>3</v>
      </c>
      <c r="I2" s="61">
        <v>3</v>
      </c>
      <c r="J2" s="61">
        <v>9</v>
      </c>
      <c r="K2" s="61">
        <v>10</v>
      </c>
    </row>
    <row r="3" spans="1:11" x14ac:dyDescent="0.15">
      <c r="A3" s="60" t="s">
        <v>177</v>
      </c>
      <c r="B3" s="61" t="s">
        <v>211</v>
      </c>
      <c r="C3" s="61">
        <v>29</v>
      </c>
      <c r="D3" s="61">
        <v>11</v>
      </c>
      <c r="E3" s="61">
        <v>18</v>
      </c>
      <c r="F3" s="61">
        <v>8</v>
      </c>
      <c r="G3" s="61">
        <v>3</v>
      </c>
      <c r="H3" s="61">
        <v>0</v>
      </c>
      <c r="I3" s="61">
        <v>5</v>
      </c>
      <c r="J3" s="61">
        <v>13</v>
      </c>
      <c r="K3" s="61">
        <v>0</v>
      </c>
    </row>
    <row r="4" spans="1:11" x14ac:dyDescent="0.15">
      <c r="A4" s="60" t="s">
        <v>212</v>
      </c>
      <c r="B4" s="61" t="s">
        <v>213</v>
      </c>
      <c r="C4" s="61">
        <v>21</v>
      </c>
      <c r="D4" s="61">
        <v>19</v>
      </c>
      <c r="E4" s="61">
        <v>2</v>
      </c>
      <c r="F4" s="61">
        <v>13</v>
      </c>
      <c r="G4" s="61">
        <v>6</v>
      </c>
      <c r="H4" s="61">
        <v>0</v>
      </c>
      <c r="I4" s="61">
        <v>0</v>
      </c>
      <c r="J4" s="61">
        <v>2</v>
      </c>
      <c r="K4" s="61">
        <v>0</v>
      </c>
    </row>
    <row r="5" spans="1:11" x14ac:dyDescent="0.15">
      <c r="A5" s="60" t="s">
        <v>214</v>
      </c>
      <c r="B5" s="61" t="s">
        <v>215</v>
      </c>
      <c r="C5" s="61">
        <v>16</v>
      </c>
      <c r="D5" s="61">
        <v>15</v>
      </c>
      <c r="E5" s="61">
        <v>1</v>
      </c>
      <c r="F5" s="61">
        <v>15</v>
      </c>
      <c r="G5" s="61">
        <v>0</v>
      </c>
      <c r="H5" s="61">
        <v>0</v>
      </c>
      <c r="I5" s="61">
        <v>0</v>
      </c>
      <c r="J5" s="61">
        <v>1</v>
      </c>
      <c r="K5" s="61">
        <v>0</v>
      </c>
    </row>
    <row r="6" spans="1:11" x14ac:dyDescent="0.15">
      <c r="A6" s="60" t="s">
        <v>216</v>
      </c>
      <c r="B6" s="61" t="s">
        <v>217</v>
      </c>
      <c r="C6" s="61">
        <v>46</v>
      </c>
      <c r="D6" s="61">
        <v>28</v>
      </c>
      <c r="E6" s="61">
        <v>18</v>
      </c>
      <c r="F6" s="61">
        <v>23</v>
      </c>
      <c r="G6" s="61">
        <v>5</v>
      </c>
      <c r="H6" s="61">
        <v>0</v>
      </c>
      <c r="I6" s="61">
        <v>0</v>
      </c>
      <c r="J6" s="61">
        <v>18</v>
      </c>
      <c r="K6" s="61">
        <v>0</v>
      </c>
    </row>
    <row r="7" spans="1:11" x14ac:dyDescent="0.15">
      <c r="A7" s="60" t="s">
        <v>218</v>
      </c>
      <c r="B7" s="61" t="s">
        <v>219</v>
      </c>
      <c r="C7" s="61">
        <v>28</v>
      </c>
      <c r="D7" s="61">
        <v>7</v>
      </c>
      <c r="E7" s="61">
        <v>21</v>
      </c>
      <c r="F7" s="61">
        <v>4</v>
      </c>
      <c r="G7" s="61">
        <v>0</v>
      </c>
      <c r="H7" s="61">
        <v>3</v>
      </c>
      <c r="I7" s="61">
        <v>12</v>
      </c>
      <c r="J7" s="61">
        <v>0</v>
      </c>
      <c r="K7" s="61">
        <v>9</v>
      </c>
    </row>
    <row r="8" spans="1:11" x14ac:dyDescent="0.15">
      <c r="A8" s="60" t="s">
        <v>220</v>
      </c>
      <c r="B8" s="61" t="s">
        <v>221</v>
      </c>
      <c r="C8" s="61">
        <v>65</v>
      </c>
      <c r="D8" s="61">
        <v>28</v>
      </c>
      <c r="E8" s="61">
        <v>37</v>
      </c>
      <c r="F8" s="61">
        <v>16</v>
      </c>
      <c r="G8" s="61">
        <v>10</v>
      </c>
      <c r="H8" s="61">
        <v>2</v>
      </c>
      <c r="I8" s="61">
        <v>0</v>
      </c>
      <c r="J8" s="61">
        <v>28</v>
      </c>
      <c r="K8" s="61">
        <v>9</v>
      </c>
    </row>
    <row r="9" spans="1:11" x14ac:dyDescent="0.15">
      <c r="A9" s="60" t="s">
        <v>146</v>
      </c>
      <c r="B9" s="61" t="s">
        <v>222</v>
      </c>
      <c r="C9" s="61">
        <v>79</v>
      </c>
      <c r="D9" s="61">
        <v>22</v>
      </c>
      <c r="E9" s="61">
        <v>57</v>
      </c>
      <c r="F9" s="61">
        <v>22</v>
      </c>
      <c r="G9" s="61">
        <v>0</v>
      </c>
      <c r="H9" s="61">
        <v>0</v>
      </c>
      <c r="I9" s="61">
        <v>0</v>
      </c>
      <c r="J9" s="61">
        <v>44</v>
      </c>
      <c r="K9" s="61">
        <v>13</v>
      </c>
    </row>
    <row r="10" spans="1:11" x14ac:dyDescent="0.15">
      <c r="A10" s="60" t="s">
        <v>223</v>
      </c>
      <c r="B10" s="61" t="s">
        <v>224</v>
      </c>
      <c r="C10" s="61">
        <v>12</v>
      </c>
      <c r="D10" s="61">
        <v>9</v>
      </c>
      <c r="E10" s="61">
        <v>3</v>
      </c>
      <c r="F10" s="61">
        <v>9</v>
      </c>
      <c r="G10" s="61">
        <v>0</v>
      </c>
      <c r="H10" s="61">
        <v>0</v>
      </c>
      <c r="I10" s="61">
        <v>0</v>
      </c>
      <c r="J10" s="61">
        <v>3</v>
      </c>
      <c r="K10" s="61">
        <v>0</v>
      </c>
    </row>
    <row r="11" spans="1:11" x14ac:dyDescent="0.15">
      <c r="A11" s="60" t="s">
        <v>225</v>
      </c>
      <c r="B11" s="61" t="s">
        <v>226</v>
      </c>
      <c r="C11" s="61">
        <v>13</v>
      </c>
      <c r="D11" s="61">
        <v>8</v>
      </c>
      <c r="E11" s="61">
        <v>5</v>
      </c>
      <c r="F11" s="61">
        <v>8</v>
      </c>
      <c r="G11" s="61">
        <v>0</v>
      </c>
      <c r="H11" s="61">
        <v>0</v>
      </c>
      <c r="I11" s="61">
        <v>0</v>
      </c>
      <c r="J11" s="61">
        <v>5</v>
      </c>
      <c r="K11" s="61">
        <v>0</v>
      </c>
    </row>
    <row r="12" spans="1:11" x14ac:dyDescent="0.15">
      <c r="A12" s="60" t="s">
        <v>5</v>
      </c>
      <c r="B12" s="61" t="s">
        <v>227</v>
      </c>
      <c r="C12" s="61">
        <v>44</v>
      </c>
      <c r="D12" s="61">
        <v>0</v>
      </c>
      <c r="E12" s="61">
        <v>44</v>
      </c>
      <c r="F12" s="61">
        <v>0</v>
      </c>
      <c r="G12" s="61">
        <v>0</v>
      </c>
      <c r="H12" s="61">
        <v>0</v>
      </c>
      <c r="I12" s="61">
        <v>17</v>
      </c>
      <c r="J12" s="61">
        <v>20</v>
      </c>
      <c r="K12" s="61">
        <v>7</v>
      </c>
    </row>
    <row r="13" spans="1:11" x14ac:dyDescent="0.15">
      <c r="A13" s="60" t="s">
        <v>6</v>
      </c>
      <c r="B13" s="61" t="s">
        <v>228</v>
      </c>
      <c r="C13" s="61">
        <v>39</v>
      </c>
      <c r="D13" s="61">
        <v>15</v>
      </c>
      <c r="E13" s="61">
        <v>24</v>
      </c>
      <c r="F13" s="61">
        <v>6</v>
      </c>
      <c r="G13" s="61">
        <v>9</v>
      </c>
      <c r="H13" s="61">
        <v>0</v>
      </c>
      <c r="I13" s="61">
        <v>4</v>
      </c>
      <c r="J13" s="61">
        <v>19</v>
      </c>
      <c r="K13" s="61">
        <v>1</v>
      </c>
    </row>
    <row r="14" spans="1:11" x14ac:dyDescent="0.15">
      <c r="A14" s="60" t="s">
        <v>229</v>
      </c>
      <c r="B14" s="61" t="s">
        <v>230</v>
      </c>
      <c r="C14" s="61">
        <v>49</v>
      </c>
      <c r="D14" s="61">
        <v>29</v>
      </c>
      <c r="E14" s="61">
        <v>20</v>
      </c>
      <c r="F14" s="61">
        <v>13</v>
      </c>
      <c r="G14" s="61">
        <v>16</v>
      </c>
      <c r="H14" s="61">
        <v>0</v>
      </c>
      <c r="I14" s="61">
        <v>0</v>
      </c>
      <c r="J14" s="61">
        <v>19</v>
      </c>
      <c r="K14" s="61">
        <v>1</v>
      </c>
    </row>
    <row r="15" spans="1:11" x14ac:dyDescent="0.15">
      <c r="A15" s="60" t="s">
        <v>231</v>
      </c>
      <c r="B15" s="61" t="s">
        <v>232</v>
      </c>
      <c r="C15" s="61">
        <v>66</v>
      </c>
      <c r="D15" s="61">
        <v>32</v>
      </c>
      <c r="E15" s="61">
        <v>34</v>
      </c>
      <c r="F15" s="61">
        <v>14</v>
      </c>
      <c r="G15" s="61">
        <v>5</v>
      </c>
      <c r="H15" s="61">
        <v>13</v>
      </c>
      <c r="I15" s="61">
        <v>0</v>
      </c>
      <c r="J15" s="61">
        <v>34</v>
      </c>
      <c r="K15" s="61">
        <v>0</v>
      </c>
    </row>
    <row r="16" spans="1:11" x14ac:dyDescent="0.15">
      <c r="A16" s="60" t="s">
        <v>233</v>
      </c>
      <c r="B16" s="61" t="s">
        <v>234</v>
      </c>
      <c r="C16" s="61">
        <v>68</v>
      </c>
      <c r="D16" s="61">
        <v>34</v>
      </c>
      <c r="E16" s="61">
        <v>34</v>
      </c>
      <c r="F16" s="61">
        <v>18</v>
      </c>
      <c r="G16" s="61">
        <v>16</v>
      </c>
      <c r="H16" s="61">
        <v>0</v>
      </c>
      <c r="I16" s="61">
        <v>0</v>
      </c>
      <c r="J16" s="61">
        <v>23</v>
      </c>
      <c r="K16" s="61">
        <v>11</v>
      </c>
    </row>
    <row r="17" spans="1:11" x14ac:dyDescent="0.15">
      <c r="A17" s="60" t="s">
        <v>235</v>
      </c>
      <c r="B17" s="61" t="s">
        <v>236</v>
      </c>
      <c r="C17" s="61">
        <v>73</v>
      </c>
      <c r="D17" s="61">
        <v>63</v>
      </c>
      <c r="E17" s="61">
        <v>10</v>
      </c>
      <c r="F17" s="61">
        <v>18</v>
      </c>
      <c r="G17" s="61">
        <v>44</v>
      </c>
      <c r="H17" s="61">
        <v>1</v>
      </c>
      <c r="I17" s="61">
        <v>0</v>
      </c>
      <c r="J17" s="61">
        <v>0</v>
      </c>
      <c r="K17" s="61">
        <v>10</v>
      </c>
    </row>
    <row r="18" spans="1:11" x14ac:dyDescent="0.15">
      <c r="A18" s="60" t="s">
        <v>237</v>
      </c>
      <c r="B18" s="61" t="s">
        <v>238</v>
      </c>
      <c r="C18" s="61">
        <v>52</v>
      </c>
      <c r="D18" s="61">
        <v>29</v>
      </c>
      <c r="E18" s="61">
        <v>23</v>
      </c>
      <c r="F18" s="61">
        <v>9</v>
      </c>
      <c r="G18" s="61">
        <v>10</v>
      </c>
      <c r="H18" s="61">
        <v>10</v>
      </c>
      <c r="I18" s="61">
        <v>1</v>
      </c>
      <c r="J18" s="61">
        <v>22</v>
      </c>
      <c r="K18" s="61">
        <v>0</v>
      </c>
    </row>
    <row r="19" spans="1:11" x14ac:dyDescent="0.15">
      <c r="A19" s="60" t="s">
        <v>239</v>
      </c>
      <c r="B19" s="61" t="s">
        <v>240</v>
      </c>
      <c r="C19" s="61">
        <v>0</v>
      </c>
      <c r="D19" s="61">
        <v>0</v>
      </c>
      <c r="E19" s="61">
        <v>0</v>
      </c>
      <c r="F19" s="61">
        <v>0</v>
      </c>
      <c r="G19" s="61">
        <v>0</v>
      </c>
      <c r="H19" s="61">
        <v>0</v>
      </c>
      <c r="I19" s="61">
        <v>0</v>
      </c>
      <c r="J19" s="61">
        <v>0</v>
      </c>
      <c r="K19" s="61">
        <v>0</v>
      </c>
    </row>
    <row r="20" spans="1:11" x14ac:dyDescent="0.15">
      <c r="A20" s="60" t="s">
        <v>7</v>
      </c>
      <c r="B20" s="61" t="s">
        <v>241</v>
      </c>
      <c r="C20" s="61">
        <v>27</v>
      </c>
      <c r="D20" s="61">
        <v>9</v>
      </c>
      <c r="E20" s="61">
        <v>18</v>
      </c>
      <c r="F20" s="61">
        <v>8</v>
      </c>
      <c r="G20" s="61">
        <v>1</v>
      </c>
      <c r="H20" s="61">
        <v>0</v>
      </c>
      <c r="I20" s="61">
        <v>8</v>
      </c>
      <c r="J20" s="61">
        <v>10</v>
      </c>
      <c r="K20" s="61">
        <v>0</v>
      </c>
    </row>
    <row r="21" spans="1:11" x14ac:dyDescent="0.15">
      <c r="A21" s="60" t="s">
        <v>242</v>
      </c>
      <c r="B21" s="61" t="s">
        <v>243</v>
      </c>
      <c r="C21" s="61">
        <v>58</v>
      </c>
      <c r="D21" s="61">
        <v>42</v>
      </c>
      <c r="E21" s="61">
        <v>16</v>
      </c>
      <c r="F21" s="61">
        <v>10</v>
      </c>
      <c r="G21" s="61">
        <v>18</v>
      </c>
      <c r="H21" s="61">
        <v>14</v>
      </c>
      <c r="I21" s="61">
        <v>2</v>
      </c>
      <c r="J21" s="61">
        <v>14</v>
      </c>
      <c r="K21" s="61">
        <v>0</v>
      </c>
    </row>
    <row r="22" spans="1:11" x14ac:dyDescent="0.15">
      <c r="A22" s="60" t="s">
        <v>244</v>
      </c>
      <c r="B22" s="61" t="s">
        <v>245</v>
      </c>
      <c r="C22" s="61">
        <v>15</v>
      </c>
      <c r="D22" s="61">
        <v>4</v>
      </c>
      <c r="E22" s="61">
        <v>11</v>
      </c>
      <c r="F22" s="61">
        <v>4</v>
      </c>
      <c r="G22" s="61">
        <v>0</v>
      </c>
      <c r="H22" s="61">
        <v>0</v>
      </c>
      <c r="I22" s="61">
        <v>11</v>
      </c>
      <c r="J22" s="61">
        <v>0</v>
      </c>
      <c r="K22" s="61">
        <v>0</v>
      </c>
    </row>
    <row r="23" spans="1:11" x14ac:dyDescent="0.15">
      <c r="A23" s="60" t="s">
        <v>246</v>
      </c>
      <c r="B23" s="61" t="s">
        <v>247</v>
      </c>
      <c r="C23" s="61">
        <v>33</v>
      </c>
      <c r="D23" s="61">
        <v>10</v>
      </c>
      <c r="E23" s="61">
        <v>23</v>
      </c>
      <c r="F23" s="61">
        <v>10</v>
      </c>
      <c r="G23" s="61">
        <v>0</v>
      </c>
      <c r="H23" s="61">
        <v>0</v>
      </c>
      <c r="I23" s="61">
        <v>1</v>
      </c>
      <c r="J23" s="61">
        <v>17</v>
      </c>
      <c r="K23" s="61">
        <v>5</v>
      </c>
    </row>
    <row r="24" spans="1:11" x14ac:dyDescent="0.15">
      <c r="A24" s="60" t="s">
        <v>248</v>
      </c>
      <c r="B24" s="61" t="s">
        <v>249</v>
      </c>
      <c r="C24" s="61">
        <v>67</v>
      </c>
      <c r="D24" s="61">
        <v>20</v>
      </c>
      <c r="E24" s="61">
        <v>47</v>
      </c>
      <c r="F24" s="61">
        <v>18</v>
      </c>
      <c r="G24" s="61">
        <v>2</v>
      </c>
      <c r="H24" s="61">
        <v>0</v>
      </c>
      <c r="I24" s="61">
        <v>8</v>
      </c>
      <c r="J24" s="61">
        <v>39</v>
      </c>
      <c r="K24" s="61">
        <v>0</v>
      </c>
    </row>
    <row r="25" spans="1:11" x14ac:dyDescent="0.15">
      <c r="A25" s="60" t="s">
        <v>250</v>
      </c>
      <c r="B25" s="61" t="s">
        <v>251</v>
      </c>
      <c r="C25" s="61">
        <v>82</v>
      </c>
      <c r="D25" s="61">
        <v>43</v>
      </c>
      <c r="E25" s="61">
        <v>39</v>
      </c>
      <c r="F25" s="61">
        <v>22</v>
      </c>
      <c r="G25" s="61">
        <v>20</v>
      </c>
      <c r="H25" s="61">
        <v>1</v>
      </c>
      <c r="I25" s="61">
        <v>0</v>
      </c>
      <c r="J25" s="61">
        <v>26</v>
      </c>
      <c r="K25" s="61">
        <v>13</v>
      </c>
    </row>
    <row r="26" spans="1:11" x14ac:dyDescent="0.15">
      <c r="A26" s="60" t="s">
        <v>252</v>
      </c>
      <c r="B26" s="61" t="s">
        <v>253</v>
      </c>
      <c r="C26" s="61">
        <v>49</v>
      </c>
      <c r="D26" s="61">
        <v>19</v>
      </c>
      <c r="E26" s="61">
        <v>30</v>
      </c>
      <c r="F26" s="61">
        <v>11</v>
      </c>
      <c r="G26" s="61">
        <v>8</v>
      </c>
      <c r="H26" s="61">
        <v>0</v>
      </c>
      <c r="I26" s="61">
        <v>0</v>
      </c>
      <c r="J26" s="61">
        <v>30</v>
      </c>
      <c r="K26" s="61">
        <v>0</v>
      </c>
    </row>
    <row r="27" spans="1:11" x14ac:dyDescent="0.15">
      <c r="A27" s="60" t="s">
        <v>254</v>
      </c>
      <c r="B27" s="61" t="s">
        <v>255</v>
      </c>
      <c r="C27" s="61">
        <v>25</v>
      </c>
      <c r="D27" s="61">
        <v>11</v>
      </c>
      <c r="E27" s="61">
        <v>14</v>
      </c>
      <c r="F27" s="61">
        <v>7</v>
      </c>
      <c r="G27" s="61">
        <v>4</v>
      </c>
      <c r="H27" s="61">
        <v>0</v>
      </c>
      <c r="I27" s="61">
        <v>13</v>
      </c>
      <c r="J27" s="61">
        <v>0</v>
      </c>
      <c r="K27" s="61">
        <v>1</v>
      </c>
    </row>
    <row r="28" spans="1:11" x14ac:dyDescent="0.15">
      <c r="A28" s="60" t="s">
        <v>151</v>
      </c>
      <c r="B28" s="61" t="s">
        <v>256</v>
      </c>
      <c r="C28" s="61">
        <v>78</v>
      </c>
      <c r="D28" s="61">
        <v>38</v>
      </c>
      <c r="E28" s="61">
        <v>40</v>
      </c>
      <c r="F28" s="61">
        <v>21</v>
      </c>
      <c r="G28" s="61">
        <v>17</v>
      </c>
      <c r="H28" s="61">
        <v>0</v>
      </c>
      <c r="I28" s="61">
        <v>2</v>
      </c>
      <c r="J28" s="61">
        <v>25</v>
      </c>
      <c r="K28" s="61">
        <v>13</v>
      </c>
    </row>
    <row r="29" spans="1:11" x14ac:dyDescent="0.15">
      <c r="A29" s="60" t="s">
        <v>257</v>
      </c>
      <c r="B29" s="61" t="s">
        <v>258</v>
      </c>
      <c r="C29" s="61">
        <v>51</v>
      </c>
      <c r="D29" s="61">
        <v>9</v>
      </c>
      <c r="E29" s="61">
        <v>42</v>
      </c>
      <c r="F29" s="61">
        <v>9</v>
      </c>
      <c r="G29" s="61">
        <v>0</v>
      </c>
      <c r="H29" s="61">
        <v>0</v>
      </c>
      <c r="I29" s="61">
        <v>8</v>
      </c>
      <c r="J29" s="61">
        <v>34</v>
      </c>
      <c r="K29" s="61">
        <v>0</v>
      </c>
    </row>
    <row r="30" spans="1:11" x14ac:dyDescent="0.15">
      <c r="A30" s="60" t="s">
        <v>173</v>
      </c>
      <c r="B30" s="61" t="s">
        <v>259</v>
      </c>
      <c r="C30" s="61">
        <v>32</v>
      </c>
      <c r="D30" s="61">
        <v>24</v>
      </c>
      <c r="E30" s="61">
        <v>8</v>
      </c>
      <c r="F30" s="61">
        <v>9</v>
      </c>
      <c r="G30" s="61">
        <v>3</v>
      </c>
      <c r="H30" s="61">
        <v>12</v>
      </c>
      <c r="I30" s="61">
        <v>8</v>
      </c>
      <c r="J30" s="61">
        <v>0</v>
      </c>
      <c r="K30" s="61">
        <v>0</v>
      </c>
    </row>
    <row r="31" spans="1:11" x14ac:dyDescent="0.15">
      <c r="A31" s="60" t="s">
        <v>166</v>
      </c>
      <c r="B31" s="61" t="s">
        <v>260</v>
      </c>
      <c r="C31" s="61">
        <v>47</v>
      </c>
      <c r="D31" s="61">
        <v>18</v>
      </c>
      <c r="E31" s="61">
        <v>29</v>
      </c>
      <c r="F31" s="61">
        <v>12</v>
      </c>
      <c r="G31" s="61">
        <v>5</v>
      </c>
      <c r="H31" s="61">
        <v>1</v>
      </c>
      <c r="I31" s="61">
        <v>0</v>
      </c>
      <c r="J31" s="61">
        <v>24</v>
      </c>
      <c r="K31" s="61">
        <v>5</v>
      </c>
    </row>
    <row r="32" spans="1:11" x14ac:dyDescent="0.15">
      <c r="A32" s="60" t="s">
        <v>261</v>
      </c>
      <c r="B32" s="61" t="s">
        <v>262</v>
      </c>
      <c r="C32" s="61">
        <v>16</v>
      </c>
      <c r="D32" s="61">
        <v>9</v>
      </c>
      <c r="E32" s="61">
        <v>7</v>
      </c>
      <c r="F32" s="61">
        <v>9</v>
      </c>
      <c r="G32" s="61">
        <v>0</v>
      </c>
      <c r="H32" s="61">
        <v>0</v>
      </c>
      <c r="I32" s="61">
        <v>4</v>
      </c>
      <c r="J32" s="61">
        <v>0</v>
      </c>
      <c r="K32" s="61">
        <v>3</v>
      </c>
    </row>
    <row r="33" spans="1:11" x14ac:dyDescent="0.15">
      <c r="A33" s="60" t="s">
        <v>263</v>
      </c>
      <c r="B33" s="61" t="s">
        <v>264</v>
      </c>
      <c r="C33" s="61">
        <v>0</v>
      </c>
      <c r="D33" s="61">
        <v>0</v>
      </c>
      <c r="E33" s="61">
        <v>0</v>
      </c>
      <c r="F33" s="61">
        <v>0</v>
      </c>
      <c r="G33" s="61">
        <v>0</v>
      </c>
      <c r="H33" s="61">
        <v>0</v>
      </c>
      <c r="I33" s="61">
        <v>0</v>
      </c>
      <c r="J33" s="61">
        <v>0</v>
      </c>
      <c r="K33" s="61">
        <v>0</v>
      </c>
    </row>
    <row r="34" spans="1:11" x14ac:dyDescent="0.15">
      <c r="A34" s="60" t="s">
        <v>265</v>
      </c>
      <c r="B34" s="61" t="s">
        <v>266</v>
      </c>
      <c r="C34" s="61">
        <v>20</v>
      </c>
      <c r="D34" s="61">
        <v>20</v>
      </c>
      <c r="E34" s="61">
        <v>0</v>
      </c>
      <c r="F34" s="61">
        <v>16</v>
      </c>
      <c r="G34" s="61">
        <v>4</v>
      </c>
      <c r="H34" s="61">
        <v>0</v>
      </c>
      <c r="I34" s="61">
        <v>0</v>
      </c>
      <c r="J34" s="61">
        <v>0</v>
      </c>
      <c r="K34" s="61">
        <v>0</v>
      </c>
    </row>
    <row r="35" spans="1:11" x14ac:dyDescent="0.15">
      <c r="A35" s="60" t="s">
        <v>162</v>
      </c>
      <c r="B35" s="61" t="s">
        <v>267</v>
      </c>
      <c r="C35" s="61">
        <v>64</v>
      </c>
      <c r="D35" s="61">
        <v>40</v>
      </c>
      <c r="E35" s="61">
        <v>24</v>
      </c>
      <c r="F35" s="61">
        <v>15</v>
      </c>
      <c r="G35" s="61">
        <v>23</v>
      </c>
      <c r="H35" s="61">
        <v>2</v>
      </c>
      <c r="I35" s="61">
        <v>1</v>
      </c>
      <c r="J35" s="61">
        <v>11</v>
      </c>
      <c r="K35" s="61">
        <v>12</v>
      </c>
    </row>
    <row r="36" spans="1:11" x14ac:dyDescent="0.15">
      <c r="A36" s="60" t="s">
        <v>268</v>
      </c>
      <c r="B36" s="61" t="s">
        <v>269</v>
      </c>
      <c r="C36" s="61">
        <v>18</v>
      </c>
      <c r="D36" s="61">
        <v>8</v>
      </c>
      <c r="E36" s="61">
        <v>10</v>
      </c>
      <c r="F36" s="61">
        <v>8</v>
      </c>
      <c r="G36" s="61">
        <v>0</v>
      </c>
      <c r="H36" s="61">
        <v>0</v>
      </c>
      <c r="I36" s="61">
        <v>9</v>
      </c>
      <c r="J36" s="61">
        <v>1</v>
      </c>
      <c r="K36" s="61">
        <v>0</v>
      </c>
    </row>
    <row r="37" spans="1:11" x14ac:dyDescent="0.15">
      <c r="A37" s="60" t="s">
        <v>8</v>
      </c>
      <c r="B37" s="61" t="s">
        <v>270</v>
      </c>
      <c r="C37" s="61">
        <v>51</v>
      </c>
      <c r="D37" s="61">
        <v>13</v>
      </c>
      <c r="E37" s="61">
        <v>38</v>
      </c>
      <c r="F37" s="61">
        <v>13</v>
      </c>
      <c r="G37" s="61">
        <v>0</v>
      </c>
      <c r="H37" s="61">
        <v>0</v>
      </c>
      <c r="I37" s="61">
        <v>0</v>
      </c>
      <c r="J37" s="61">
        <v>37</v>
      </c>
      <c r="K37" s="61">
        <v>1</v>
      </c>
    </row>
    <row r="38" spans="1:11" x14ac:dyDescent="0.15">
      <c r="A38" s="60" t="s">
        <v>271</v>
      </c>
      <c r="B38" s="61" t="s">
        <v>272</v>
      </c>
      <c r="C38" s="61">
        <v>17</v>
      </c>
      <c r="D38" s="61">
        <v>14</v>
      </c>
      <c r="E38" s="61">
        <v>3</v>
      </c>
      <c r="F38" s="61">
        <v>14</v>
      </c>
      <c r="G38" s="61">
        <v>0</v>
      </c>
      <c r="H38" s="61">
        <v>0</v>
      </c>
      <c r="I38" s="61">
        <v>1</v>
      </c>
      <c r="J38" s="61">
        <v>1</v>
      </c>
      <c r="K38" s="61">
        <v>1</v>
      </c>
    </row>
    <row r="39" spans="1:11" x14ac:dyDescent="0.15">
      <c r="A39" s="60" t="s">
        <v>273</v>
      </c>
      <c r="B39" s="61" t="s">
        <v>274</v>
      </c>
      <c r="C39" s="61">
        <v>23</v>
      </c>
      <c r="D39" s="61">
        <v>13</v>
      </c>
      <c r="E39" s="61">
        <v>10</v>
      </c>
      <c r="F39" s="61">
        <v>13</v>
      </c>
      <c r="G39" s="61">
        <v>0</v>
      </c>
      <c r="H39" s="61">
        <v>0</v>
      </c>
      <c r="I39" s="61">
        <v>3</v>
      </c>
      <c r="J39" s="61">
        <v>7</v>
      </c>
      <c r="K39" s="61">
        <v>0</v>
      </c>
    </row>
    <row r="40" spans="1:11" x14ac:dyDescent="0.15">
      <c r="A40" s="60" t="s">
        <v>275</v>
      </c>
      <c r="B40" s="61" t="s">
        <v>276</v>
      </c>
      <c r="C40" s="61">
        <v>28</v>
      </c>
      <c r="D40" s="61">
        <v>23</v>
      </c>
      <c r="E40" s="61">
        <v>5</v>
      </c>
      <c r="F40" s="61">
        <v>17</v>
      </c>
      <c r="G40" s="61">
        <v>6</v>
      </c>
      <c r="H40" s="61">
        <v>0</v>
      </c>
      <c r="I40" s="61">
        <v>0</v>
      </c>
      <c r="J40" s="61">
        <v>5</v>
      </c>
      <c r="K40" s="61">
        <v>0</v>
      </c>
    </row>
    <row r="41" spans="1:11" x14ac:dyDescent="0.15">
      <c r="A41" s="60" t="s">
        <v>9</v>
      </c>
      <c r="B41" s="61" t="s">
        <v>277</v>
      </c>
      <c r="C41" s="61">
        <v>77</v>
      </c>
      <c r="D41" s="61">
        <v>14</v>
      </c>
      <c r="E41" s="61">
        <v>63</v>
      </c>
      <c r="F41" s="61">
        <v>14</v>
      </c>
      <c r="G41" s="61">
        <v>0</v>
      </c>
      <c r="H41" s="61">
        <v>0</v>
      </c>
      <c r="I41" s="61">
        <v>9</v>
      </c>
      <c r="J41" s="61">
        <v>42</v>
      </c>
      <c r="K41" s="61">
        <v>12</v>
      </c>
    </row>
    <row r="42" spans="1:11" x14ac:dyDescent="0.15">
      <c r="A42" s="60" t="s">
        <v>278</v>
      </c>
      <c r="B42" s="61" t="s">
        <v>279</v>
      </c>
      <c r="C42" s="61">
        <v>27</v>
      </c>
      <c r="D42" s="61">
        <v>9</v>
      </c>
      <c r="E42" s="61">
        <v>18</v>
      </c>
      <c r="F42" s="61">
        <v>9</v>
      </c>
      <c r="G42" s="61">
        <v>0</v>
      </c>
      <c r="H42" s="61">
        <v>0</v>
      </c>
      <c r="I42" s="61">
        <v>10</v>
      </c>
      <c r="J42" s="61">
        <v>8</v>
      </c>
      <c r="K42" s="61">
        <v>0</v>
      </c>
    </row>
    <row r="43" spans="1:11" x14ac:dyDescent="0.15">
      <c r="A43" s="60" t="s">
        <v>10</v>
      </c>
      <c r="B43" s="61" t="s">
        <v>280</v>
      </c>
      <c r="C43" s="61">
        <v>77</v>
      </c>
      <c r="D43" s="61">
        <v>23</v>
      </c>
      <c r="E43" s="61">
        <v>54</v>
      </c>
      <c r="F43" s="61">
        <v>21</v>
      </c>
      <c r="G43" s="61">
        <v>2</v>
      </c>
      <c r="H43" s="61">
        <v>0</v>
      </c>
      <c r="I43" s="61">
        <v>0</v>
      </c>
      <c r="J43" s="61">
        <v>42</v>
      </c>
      <c r="K43" s="61">
        <v>12</v>
      </c>
    </row>
    <row r="44" spans="1:11" x14ac:dyDescent="0.15">
      <c r="A44" s="60" t="s">
        <v>281</v>
      </c>
      <c r="B44" s="61" t="s">
        <v>282</v>
      </c>
      <c r="C44" s="61">
        <v>35</v>
      </c>
      <c r="D44" s="61">
        <v>29</v>
      </c>
      <c r="E44" s="61">
        <v>6</v>
      </c>
      <c r="F44" s="61">
        <v>15</v>
      </c>
      <c r="G44" s="61">
        <v>14</v>
      </c>
      <c r="H44" s="61">
        <v>0</v>
      </c>
      <c r="I44" s="61">
        <v>5</v>
      </c>
      <c r="J44" s="61">
        <v>1</v>
      </c>
      <c r="K44" s="61">
        <v>0</v>
      </c>
    </row>
    <row r="45" spans="1:11" x14ac:dyDescent="0.15">
      <c r="A45" s="60" t="s">
        <v>283</v>
      </c>
      <c r="B45" s="61" t="s">
        <v>284</v>
      </c>
      <c r="C45" s="61">
        <v>39</v>
      </c>
      <c r="D45" s="61">
        <v>10</v>
      </c>
      <c r="E45" s="61">
        <v>29</v>
      </c>
      <c r="F45" s="61">
        <v>6</v>
      </c>
      <c r="G45" s="61">
        <v>4</v>
      </c>
      <c r="H45" s="61">
        <v>0</v>
      </c>
      <c r="I45" s="61">
        <v>6</v>
      </c>
      <c r="J45" s="61">
        <v>23</v>
      </c>
      <c r="K45" s="61">
        <v>0</v>
      </c>
    </row>
    <row r="46" spans="1:11" x14ac:dyDescent="0.15">
      <c r="A46" s="60" t="s">
        <v>285</v>
      </c>
      <c r="B46" s="61" t="s">
        <v>286</v>
      </c>
      <c r="C46" s="61">
        <v>4</v>
      </c>
      <c r="D46" s="61">
        <v>4</v>
      </c>
      <c r="E46" s="61">
        <v>0</v>
      </c>
      <c r="F46" s="61">
        <v>4</v>
      </c>
      <c r="G46" s="61">
        <v>0</v>
      </c>
      <c r="H46" s="61">
        <v>0</v>
      </c>
      <c r="I46" s="61">
        <v>0</v>
      </c>
      <c r="J46" s="61">
        <v>0</v>
      </c>
      <c r="K46" s="61">
        <v>0</v>
      </c>
    </row>
    <row r="47" spans="1:11" x14ac:dyDescent="0.15">
      <c r="A47" s="60" t="s">
        <v>11</v>
      </c>
      <c r="B47" s="61" t="s">
        <v>287</v>
      </c>
      <c r="C47" s="61">
        <v>79</v>
      </c>
      <c r="D47" s="61">
        <v>43</v>
      </c>
      <c r="E47" s="61">
        <v>36</v>
      </c>
      <c r="F47" s="61">
        <v>21</v>
      </c>
      <c r="G47" s="61">
        <v>22</v>
      </c>
      <c r="H47" s="61">
        <v>0</v>
      </c>
      <c r="I47" s="61">
        <v>0</v>
      </c>
      <c r="J47" s="61">
        <v>22</v>
      </c>
      <c r="K47" s="61">
        <v>14</v>
      </c>
    </row>
    <row r="48" spans="1:11" x14ac:dyDescent="0.15">
      <c r="A48" s="60" t="s">
        <v>288</v>
      </c>
      <c r="B48" s="61" t="s">
        <v>289</v>
      </c>
      <c r="C48" s="61">
        <v>13</v>
      </c>
      <c r="D48" s="61">
        <v>7</v>
      </c>
      <c r="E48" s="61">
        <v>6</v>
      </c>
      <c r="F48" s="61">
        <v>7</v>
      </c>
      <c r="G48" s="61">
        <v>0</v>
      </c>
      <c r="H48" s="61">
        <v>0</v>
      </c>
      <c r="I48" s="61">
        <v>6</v>
      </c>
      <c r="J48" s="61">
        <v>0</v>
      </c>
      <c r="K48" s="61">
        <v>0</v>
      </c>
    </row>
    <row r="49" spans="1:11" x14ac:dyDescent="0.15">
      <c r="A49" s="60" t="s">
        <v>152</v>
      </c>
      <c r="B49" s="61" t="s">
        <v>290</v>
      </c>
      <c r="C49" s="61">
        <v>10</v>
      </c>
      <c r="D49" s="61">
        <v>8</v>
      </c>
      <c r="E49" s="61">
        <v>2</v>
      </c>
      <c r="F49" s="61">
        <v>8</v>
      </c>
      <c r="G49" s="61">
        <v>0</v>
      </c>
      <c r="H49" s="61">
        <v>0</v>
      </c>
      <c r="I49" s="61">
        <v>2</v>
      </c>
      <c r="J49" s="61">
        <v>0</v>
      </c>
      <c r="K49" s="61">
        <v>0</v>
      </c>
    </row>
    <row r="50" spans="1:11" x14ac:dyDescent="0.15">
      <c r="A50" s="60" t="s">
        <v>291</v>
      </c>
      <c r="B50" s="61" t="s">
        <v>292</v>
      </c>
      <c r="C50" s="61">
        <v>62</v>
      </c>
      <c r="D50" s="61">
        <v>19</v>
      </c>
      <c r="E50" s="61">
        <v>43</v>
      </c>
      <c r="F50" s="61">
        <v>15</v>
      </c>
      <c r="G50" s="61">
        <v>0</v>
      </c>
      <c r="H50" s="61">
        <v>4</v>
      </c>
      <c r="I50" s="61">
        <v>0</v>
      </c>
      <c r="J50" s="61">
        <v>37</v>
      </c>
      <c r="K50" s="61">
        <v>6</v>
      </c>
    </row>
    <row r="51" spans="1:11" x14ac:dyDescent="0.15">
      <c r="A51" s="60" t="s">
        <v>293</v>
      </c>
      <c r="B51" s="61" t="s">
        <v>294</v>
      </c>
      <c r="C51" s="61">
        <v>14</v>
      </c>
      <c r="D51" s="61">
        <v>7</v>
      </c>
      <c r="E51" s="61">
        <v>7</v>
      </c>
      <c r="F51" s="61">
        <v>7</v>
      </c>
      <c r="G51" s="61">
        <v>0</v>
      </c>
      <c r="H51" s="61">
        <v>0</v>
      </c>
      <c r="I51" s="61">
        <v>2</v>
      </c>
      <c r="J51" s="61">
        <v>4</v>
      </c>
      <c r="K51" s="61">
        <v>1</v>
      </c>
    </row>
    <row r="52" spans="1:11" x14ac:dyDescent="0.15">
      <c r="A52" s="60" t="s">
        <v>191</v>
      </c>
      <c r="B52" s="61" t="s">
        <v>295</v>
      </c>
      <c r="C52" s="61">
        <v>28</v>
      </c>
      <c r="D52" s="61">
        <v>13</v>
      </c>
      <c r="E52" s="61">
        <v>15</v>
      </c>
      <c r="F52" s="61">
        <v>7</v>
      </c>
      <c r="G52" s="61">
        <v>6</v>
      </c>
      <c r="H52" s="61">
        <v>0</v>
      </c>
      <c r="I52" s="61">
        <v>1</v>
      </c>
      <c r="J52" s="61">
        <v>13</v>
      </c>
      <c r="K52" s="61">
        <v>1</v>
      </c>
    </row>
    <row r="53" spans="1:11" x14ac:dyDescent="0.15">
      <c r="A53" s="60" t="s">
        <v>13</v>
      </c>
      <c r="B53" s="61" t="s">
        <v>296</v>
      </c>
      <c r="C53" s="61">
        <v>46</v>
      </c>
      <c r="D53" s="61">
        <v>20</v>
      </c>
      <c r="E53" s="61">
        <v>26</v>
      </c>
      <c r="F53" s="61">
        <v>9</v>
      </c>
      <c r="G53" s="61">
        <v>11</v>
      </c>
      <c r="H53" s="61">
        <v>0</v>
      </c>
      <c r="I53" s="61">
        <v>7</v>
      </c>
      <c r="J53" s="61">
        <v>18</v>
      </c>
      <c r="K53" s="61">
        <v>1</v>
      </c>
    </row>
    <row r="54" spans="1:11" x14ac:dyDescent="0.15">
      <c r="A54" s="60" t="s">
        <v>26</v>
      </c>
      <c r="B54" s="61" t="s">
        <v>297</v>
      </c>
      <c r="C54" s="61">
        <v>39</v>
      </c>
      <c r="D54" s="61">
        <v>31</v>
      </c>
      <c r="E54" s="61">
        <v>8</v>
      </c>
      <c r="F54" s="61">
        <v>7</v>
      </c>
      <c r="G54" s="61">
        <v>24</v>
      </c>
      <c r="H54" s="61">
        <v>0</v>
      </c>
      <c r="I54" s="61">
        <v>6</v>
      </c>
      <c r="J54" s="61">
        <v>2</v>
      </c>
      <c r="K54" s="61">
        <v>0</v>
      </c>
    </row>
    <row r="55" spans="1:11" x14ac:dyDescent="0.15">
      <c r="A55" s="60" t="s">
        <v>298</v>
      </c>
      <c r="B55" s="61" t="s">
        <v>299</v>
      </c>
      <c r="C55" s="61">
        <v>33</v>
      </c>
      <c r="D55" s="61">
        <v>24</v>
      </c>
      <c r="E55" s="61">
        <v>9</v>
      </c>
      <c r="F55" s="61">
        <v>17</v>
      </c>
      <c r="G55" s="61">
        <v>7</v>
      </c>
      <c r="H55" s="61">
        <v>0</v>
      </c>
      <c r="I55" s="61">
        <v>3</v>
      </c>
      <c r="J55" s="61">
        <v>6</v>
      </c>
      <c r="K55" s="61">
        <v>0</v>
      </c>
    </row>
    <row r="56" spans="1:11" x14ac:dyDescent="0.15">
      <c r="A56" s="60" t="s">
        <v>14</v>
      </c>
      <c r="B56" s="61" t="s">
        <v>300</v>
      </c>
      <c r="C56" s="61">
        <v>34</v>
      </c>
      <c r="D56" s="61">
        <v>8</v>
      </c>
      <c r="E56" s="61">
        <v>26</v>
      </c>
      <c r="F56" s="61">
        <v>3</v>
      </c>
      <c r="G56" s="61">
        <v>5</v>
      </c>
      <c r="H56" s="61">
        <v>0</v>
      </c>
      <c r="I56" s="61">
        <v>6</v>
      </c>
      <c r="J56" s="61">
        <v>20</v>
      </c>
      <c r="K56" s="61">
        <v>0</v>
      </c>
    </row>
    <row r="57" spans="1:11" x14ac:dyDescent="0.15">
      <c r="A57" s="60" t="s">
        <v>301</v>
      </c>
      <c r="B57" s="61" t="s">
        <v>302</v>
      </c>
      <c r="C57" s="61">
        <v>11</v>
      </c>
      <c r="D57" s="61">
        <v>7</v>
      </c>
      <c r="E57" s="61">
        <v>4</v>
      </c>
      <c r="F57" s="61">
        <v>7</v>
      </c>
      <c r="G57" s="61">
        <v>0</v>
      </c>
      <c r="H57" s="61">
        <v>0</v>
      </c>
      <c r="I57" s="61">
        <v>0</v>
      </c>
      <c r="J57" s="61">
        <v>0</v>
      </c>
      <c r="K57" s="61">
        <v>4</v>
      </c>
    </row>
    <row r="58" spans="1:11" x14ac:dyDescent="0.15">
      <c r="A58" s="60" t="s">
        <v>303</v>
      </c>
      <c r="B58" s="61" t="s">
        <v>304</v>
      </c>
      <c r="C58" s="61">
        <v>28</v>
      </c>
      <c r="D58" s="61">
        <v>28</v>
      </c>
      <c r="E58" s="61">
        <v>0</v>
      </c>
      <c r="F58" s="61">
        <v>17</v>
      </c>
      <c r="G58" s="61">
        <v>0</v>
      </c>
      <c r="H58" s="61">
        <v>11</v>
      </c>
      <c r="I58" s="61">
        <v>0</v>
      </c>
      <c r="J58" s="61">
        <v>0</v>
      </c>
      <c r="K58" s="61">
        <v>0</v>
      </c>
    </row>
    <row r="59" spans="1:11" x14ac:dyDescent="0.15">
      <c r="A59" s="60" t="s">
        <v>163</v>
      </c>
      <c r="B59" s="61" t="s">
        <v>305</v>
      </c>
      <c r="C59" s="61">
        <v>55</v>
      </c>
      <c r="D59" s="61">
        <v>33</v>
      </c>
      <c r="E59" s="61">
        <v>22</v>
      </c>
      <c r="F59" s="61">
        <v>13</v>
      </c>
      <c r="G59" s="61">
        <v>20</v>
      </c>
      <c r="H59" s="61">
        <v>0</v>
      </c>
      <c r="I59" s="61">
        <v>0</v>
      </c>
      <c r="J59" s="61">
        <v>16</v>
      </c>
      <c r="K59" s="61">
        <v>6</v>
      </c>
    </row>
    <row r="60" spans="1:11" x14ac:dyDescent="0.15">
      <c r="A60" s="60" t="s">
        <v>306</v>
      </c>
      <c r="B60" s="61" t="s">
        <v>307</v>
      </c>
      <c r="C60" s="61">
        <v>79</v>
      </c>
      <c r="D60" s="61">
        <v>40</v>
      </c>
      <c r="E60" s="61">
        <v>39</v>
      </c>
      <c r="F60" s="61">
        <v>16</v>
      </c>
      <c r="G60" s="61">
        <v>24</v>
      </c>
      <c r="H60" s="61">
        <v>0</v>
      </c>
      <c r="I60" s="61">
        <v>0</v>
      </c>
      <c r="J60" s="61">
        <v>26</v>
      </c>
      <c r="K60" s="61">
        <v>13</v>
      </c>
    </row>
    <row r="61" spans="1:11" x14ac:dyDescent="0.15">
      <c r="A61" s="60" t="s">
        <v>308</v>
      </c>
      <c r="B61" s="61" t="s">
        <v>309</v>
      </c>
      <c r="C61" s="61">
        <v>19</v>
      </c>
      <c r="D61" s="61">
        <v>16</v>
      </c>
      <c r="E61" s="61">
        <v>3</v>
      </c>
      <c r="F61" s="61">
        <v>14</v>
      </c>
      <c r="G61" s="61">
        <v>2</v>
      </c>
      <c r="H61" s="61">
        <v>0</v>
      </c>
      <c r="I61" s="61">
        <v>0</v>
      </c>
      <c r="J61" s="61">
        <v>3</v>
      </c>
      <c r="K61" s="61">
        <v>0</v>
      </c>
    </row>
    <row r="62" spans="1:11" x14ac:dyDescent="0.15">
      <c r="A62" s="60" t="s">
        <v>153</v>
      </c>
      <c r="B62" s="61" t="s">
        <v>310</v>
      </c>
      <c r="C62" s="61">
        <v>80</v>
      </c>
      <c r="D62" s="61">
        <v>46</v>
      </c>
      <c r="E62" s="61">
        <v>34</v>
      </c>
      <c r="F62" s="61">
        <v>24</v>
      </c>
      <c r="G62" s="61">
        <v>22</v>
      </c>
      <c r="H62" s="61">
        <v>0</v>
      </c>
      <c r="I62" s="61">
        <v>0</v>
      </c>
      <c r="J62" s="61">
        <v>21</v>
      </c>
      <c r="K62" s="61">
        <v>13</v>
      </c>
    </row>
    <row r="63" spans="1:11" x14ac:dyDescent="0.15">
      <c r="A63" s="60" t="s">
        <v>311</v>
      </c>
      <c r="B63" s="61" t="s">
        <v>312</v>
      </c>
      <c r="C63" s="61">
        <v>34</v>
      </c>
      <c r="D63" s="61">
        <v>27</v>
      </c>
      <c r="E63" s="61">
        <v>7</v>
      </c>
      <c r="F63" s="61">
        <v>13</v>
      </c>
      <c r="G63" s="61">
        <v>14</v>
      </c>
      <c r="H63" s="61">
        <v>0</v>
      </c>
      <c r="I63" s="61">
        <v>2</v>
      </c>
      <c r="J63" s="61">
        <v>4</v>
      </c>
      <c r="K63" s="61">
        <v>1</v>
      </c>
    </row>
    <row r="64" spans="1:11" x14ac:dyDescent="0.15">
      <c r="A64" s="60" t="s">
        <v>313</v>
      </c>
      <c r="B64" s="61" t="s">
        <v>314</v>
      </c>
      <c r="C64" s="61">
        <v>50</v>
      </c>
      <c r="D64" s="61">
        <v>14</v>
      </c>
      <c r="E64" s="61">
        <v>36</v>
      </c>
      <c r="F64" s="61">
        <v>14</v>
      </c>
      <c r="G64" s="61">
        <v>0</v>
      </c>
      <c r="H64" s="61">
        <v>0</v>
      </c>
      <c r="I64" s="61">
        <v>8</v>
      </c>
      <c r="J64" s="61">
        <v>28</v>
      </c>
      <c r="K64" s="61">
        <v>0</v>
      </c>
    </row>
    <row r="65" spans="1:11" x14ac:dyDescent="0.15">
      <c r="A65" s="60" t="s">
        <v>15</v>
      </c>
      <c r="B65" s="61" t="s">
        <v>315</v>
      </c>
      <c r="C65" s="61">
        <v>26</v>
      </c>
      <c r="D65" s="61">
        <v>15</v>
      </c>
      <c r="E65" s="61">
        <v>11</v>
      </c>
      <c r="F65" s="61">
        <v>8</v>
      </c>
      <c r="G65" s="61">
        <v>7</v>
      </c>
      <c r="H65" s="61">
        <v>0</v>
      </c>
      <c r="I65" s="61">
        <v>0</v>
      </c>
      <c r="J65" s="61">
        <v>11</v>
      </c>
      <c r="K65" s="61">
        <v>0</v>
      </c>
    </row>
    <row r="66" spans="1:11" x14ac:dyDescent="0.15">
      <c r="A66" s="60" t="s">
        <v>316</v>
      </c>
      <c r="B66" s="61" t="s">
        <v>317</v>
      </c>
      <c r="C66" s="61">
        <v>57</v>
      </c>
      <c r="D66" s="61">
        <v>34</v>
      </c>
      <c r="E66" s="61">
        <v>23</v>
      </c>
      <c r="F66" s="61">
        <v>16</v>
      </c>
      <c r="G66" s="61">
        <v>18</v>
      </c>
      <c r="H66" s="61">
        <v>0</v>
      </c>
      <c r="I66" s="61">
        <v>8</v>
      </c>
      <c r="J66" s="61">
        <v>15</v>
      </c>
      <c r="K66" s="61">
        <v>0</v>
      </c>
    </row>
    <row r="67" spans="1:11" x14ac:dyDescent="0.15">
      <c r="A67" s="60" t="s">
        <v>318</v>
      </c>
      <c r="B67" s="61" t="s">
        <v>319</v>
      </c>
      <c r="C67" s="61">
        <v>62</v>
      </c>
      <c r="D67" s="61">
        <v>21</v>
      </c>
      <c r="E67" s="61">
        <v>41</v>
      </c>
      <c r="F67" s="61">
        <v>14</v>
      </c>
      <c r="G67" s="61">
        <v>7</v>
      </c>
      <c r="H67" s="61">
        <v>0</v>
      </c>
      <c r="I67" s="61">
        <v>0</v>
      </c>
      <c r="J67" s="61">
        <v>41</v>
      </c>
      <c r="K67" s="61">
        <v>0</v>
      </c>
    </row>
    <row r="68" spans="1:11" x14ac:dyDescent="0.15">
      <c r="A68" s="60" t="s">
        <v>320</v>
      </c>
      <c r="B68" s="61" t="s">
        <v>321</v>
      </c>
      <c r="C68" s="61">
        <v>9</v>
      </c>
      <c r="D68" s="61">
        <v>5</v>
      </c>
      <c r="E68" s="61">
        <v>4</v>
      </c>
      <c r="F68" s="61">
        <v>4</v>
      </c>
      <c r="G68" s="61">
        <v>0</v>
      </c>
      <c r="H68" s="61">
        <v>1</v>
      </c>
      <c r="I68" s="61">
        <v>4</v>
      </c>
      <c r="J68" s="61">
        <v>0</v>
      </c>
      <c r="K68" s="61">
        <v>0</v>
      </c>
    </row>
    <row r="69" spans="1:11" x14ac:dyDescent="0.15">
      <c r="A69" s="60" t="s">
        <v>322</v>
      </c>
      <c r="B69" s="61" t="s">
        <v>323</v>
      </c>
      <c r="C69" s="61">
        <v>40</v>
      </c>
      <c r="D69" s="61">
        <v>35</v>
      </c>
      <c r="E69" s="61">
        <v>5</v>
      </c>
      <c r="F69" s="61">
        <v>12</v>
      </c>
      <c r="G69" s="61">
        <v>14</v>
      </c>
      <c r="H69" s="61">
        <v>9</v>
      </c>
      <c r="I69" s="61">
        <v>1</v>
      </c>
      <c r="J69" s="61">
        <v>0</v>
      </c>
      <c r="K69" s="61">
        <v>4</v>
      </c>
    </row>
    <row r="70" spans="1:11" x14ac:dyDescent="0.15">
      <c r="A70" s="60" t="s">
        <v>16</v>
      </c>
      <c r="B70" s="61" t="s">
        <v>324</v>
      </c>
      <c r="C70" s="61">
        <v>33</v>
      </c>
      <c r="D70" s="61">
        <v>8</v>
      </c>
      <c r="E70" s="61">
        <v>25</v>
      </c>
      <c r="F70" s="61">
        <v>8</v>
      </c>
      <c r="G70" s="61">
        <v>0</v>
      </c>
      <c r="H70" s="61">
        <v>0</v>
      </c>
      <c r="I70" s="61">
        <v>0</v>
      </c>
      <c r="J70" s="61">
        <v>25</v>
      </c>
      <c r="K70" s="61">
        <v>0</v>
      </c>
    </row>
    <row r="71" spans="1:11" x14ac:dyDescent="0.15">
      <c r="A71" s="60" t="s">
        <v>17</v>
      </c>
      <c r="B71" s="61" t="s">
        <v>325</v>
      </c>
      <c r="C71" s="61">
        <v>12</v>
      </c>
      <c r="D71" s="61">
        <v>7</v>
      </c>
      <c r="E71" s="61">
        <v>5</v>
      </c>
      <c r="F71" s="61">
        <v>6</v>
      </c>
      <c r="G71" s="61">
        <v>1</v>
      </c>
      <c r="H71" s="61">
        <v>0</v>
      </c>
      <c r="I71" s="61">
        <v>4</v>
      </c>
      <c r="J71" s="61">
        <v>1</v>
      </c>
      <c r="K71" s="61">
        <v>0</v>
      </c>
    </row>
    <row r="72" spans="1:11" x14ac:dyDescent="0.15">
      <c r="A72" s="60" t="s">
        <v>326</v>
      </c>
      <c r="B72" s="61" t="s">
        <v>327</v>
      </c>
      <c r="C72" s="61">
        <v>21</v>
      </c>
      <c r="D72" s="61">
        <v>16</v>
      </c>
      <c r="E72" s="61">
        <v>5</v>
      </c>
      <c r="F72" s="61">
        <v>16</v>
      </c>
      <c r="G72" s="61">
        <v>0</v>
      </c>
      <c r="H72" s="61">
        <v>0</v>
      </c>
      <c r="I72" s="61">
        <v>4</v>
      </c>
      <c r="J72" s="61">
        <v>1</v>
      </c>
      <c r="K72" s="61">
        <v>0</v>
      </c>
    </row>
    <row r="73" spans="1:11" x14ac:dyDescent="0.15">
      <c r="A73" s="60" t="s">
        <v>328</v>
      </c>
      <c r="B73" s="61" t="s">
        <v>329</v>
      </c>
      <c r="C73" s="61">
        <v>28</v>
      </c>
      <c r="D73" s="61">
        <v>20</v>
      </c>
      <c r="E73" s="61">
        <v>8</v>
      </c>
      <c r="F73" s="61">
        <v>14</v>
      </c>
      <c r="G73" s="61">
        <v>6</v>
      </c>
      <c r="H73" s="61">
        <v>0</v>
      </c>
      <c r="I73" s="61">
        <v>5</v>
      </c>
      <c r="J73" s="61">
        <v>2</v>
      </c>
      <c r="K73" s="61">
        <v>1</v>
      </c>
    </row>
    <row r="74" spans="1:11" x14ac:dyDescent="0.15">
      <c r="A74" s="60" t="s">
        <v>164</v>
      </c>
      <c r="B74" s="61" t="s">
        <v>330</v>
      </c>
      <c r="C74" s="61">
        <v>35</v>
      </c>
      <c r="D74" s="61">
        <v>19</v>
      </c>
      <c r="E74" s="61">
        <v>16</v>
      </c>
      <c r="F74" s="61">
        <v>16</v>
      </c>
      <c r="G74" s="61">
        <v>0</v>
      </c>
      <c r="H74" s="61">
        <v>3</v>
      </c>
      <c r="I74" s="61">
        <v>0</v>
      </c>
      <c r="J74" s="61">
        <v>16</v>
      </c>
      <c r="K74" s="61">
        <v>0</v>
      </c>
    </row>
    <row r="75" spans="1:11" x14ac:dyDescent="0.15">
      <c r="A75" s="60" t="s">
        <v>18</v>
      </c>
      <c r="B75" s="61" t="s">
        <v>331</v>
      </c>
      <c r="C75" s="61">
        <v>38</v>
      </c>
      <c r="D75" s="61">
        <v>14</v>
      </c>
      <c r="E75" s="61">
        <v>24</v>
      </c>
      <c r="F75" s="61">
        <v>5</v>
      </c>
      <c r="G75" s="61">
        <v>9</v>
      </c>
      <c r="H75" s="61">
        <v>0</v>
      </c>
      <c r="I75" s="61">
        <v>10</v>
      </c>
      <c r="J75" s="61">
        <v>13</v>
      </c>
      <c r="K75" s="61">
        <v>1</v>
      </c>
    </row>
    <row r="76" spans="1:11" x14ac:dyDescent="0.15">
      <c r="A76" s="60" t="s">
        <v>332</v>
      </c>
      <c r="B76" s="61" t="s">
        <v>333</v>
      </c>
      <c r="C76" s="61">
        <v>39</v>
      </c>
      <c r="D76" s="61">
        <v>10</v>
      </c>
      <c r="E76" s="61">
        <v>29</v>
      </c>
      <c r="F76" s="61">
        <v>9</v>
      </c>
      <c r="G76" s="61">
        <v>1</v>
      </c>
      <c r="H76" s="61">
        <v>0</v>
      </c>
      <c r="I76" s="61">
        <v>11</v>
      </c>
      <c r="J76" s="61">
        <v>18</v>
      </c>
      <c r="K76" s="61">
        <v>0</v>
      </c>
    </row>
    <row r="77" spans="1:11" x14ac:dyDescent="0.15">
      <c r="A77" s="60" t="s">
        <v>334</v>
      </c>
      <c r="B77" s="61" t="s">
        <v>335</v>
      </c>
      <c r="C77" s="61">
        <v>20</v>
      </c>
      <c r="D77" s="61">
        <v>20</v>
      </c>
      <c r="E77" s="61">
        <v>0</v>
      </c>
      <c r="F77" s="61">
        <v>12</v>
      </c>
      <c r="G77" s="61">
        <v>7</v>
      </c>
      <c r="H77" s="61">
        <v>1</v>
      </c>
      <c r="I77" s="61">
        <v>0</v>
      </c>
      <c r="J77" s="61">
        <v>0</v>
      </c>
      <c r="K77" s="61">
        <v>0</v>
      </c>
    </row>
    <row r="78" spans="1:11" x14ac:dyDescent="0.15">
      <c r="A78" s="60" t="s">
        <v>19</v>
      </c>
      <c r="B78" s="61" t="s">
        <v>336</v>
      </c>
      <c r="C78" s="61">
        <v>37</v>
      </c>
      <c r="D78" s="61">
        <v>18</v>
      </c>
      <c r="E78" s="61">
        <v>19</v>
      </c>
      <c r="F78" s="61">
        <v>7</v>
      </c>
      <c r="G78" s="61">
        <v>11</v>
      </c>
      <c r="H78" s="61">
        <v>0</v>
      </c>
      <c r="I78" s="61">
        <v>6</v>
      </c>
      <c r="J78" s="61">
        <v>13</v>
      </c>
      <c r="K78" s="61">
        <v>0</v>
      </c>
    </row>
    <row r="79" spans="1:11" x14ac:dyDescent="0.15">
      <c r="A79" s="60" t="s">
        <v>337</v>
      </c>
      <c r="B79" s="61" t="s">
        <v>338</v>
      </c>
      <c r="C79" s="61">
        <v>4</v>
      </c>
      <c r="D79" s="61">
        <v>3</v>
      </c>
      <c r="E79" s="61">
        <v>1</v>
      </c>
      <c r="F79" s="61">
        <v>3</v>
      </c>
      <c r="G79" s="61">
        <v>0</v>
      </c>
      <c r="H79" s="61">
        <v>0</v>
      </c>
      <c r="I79" s="61">
        <v>1</v>
      </c>
      <c r="J79" s="61">
        <v>0</v>
      </c>
      <c r="K79" s="61">
        <v>0</v>
      </c>
    </row>
    <row r="80" spans="1:11" x14ac:dyDescent="0.15">
      <c r="A80" s="60" t="s">
        <v>339</v>
      </c>
      <c r="B80" s="61" t="s">
        <v>340</v>
      </c>
      <c r="C80" s="61">
        <v>69</v>
      </c>
      <c r="D80" s="61">
        <v>20</v>
      </c>
      <c r="E80" s="61">
        <v>49</v>
      </c>
      <c r="F80" s="61">
        <v>12</v>
      </c>
      <c r="G80" s="61">
        <v>0</v>
      </c>
      <c r="H80" s="61">
        <v>8</v>
      </c>
      <c r="I80" s="61">
        <v>8</v>
      </c>
      <c r="J80" s="61">
        <v>37</v>
      </c>
      <c r="K80" s="61">
        <v>4</v>
      </c>
    </row>
    <row r="81" spans="1:11" x14ac:dyDescent="0.15">
      <c r="A81" s="60" t="s">
        <v>143</v>
      </c>
      <c r="B81" s="61" t="s">
        <v>341</v>
      </c>
      <c r="C81" s="61">
        <v>79</v>
      </c>
      <c r="D81" s="61">
        <v>33</v>
      </c>
      <c r="E81" s="61">
        <v>46</v>
      </c>
      <c r="F81" s="61">
        <v>24</v>
      </c>
      <c r="G81" s="61">
        <v>9</v>
      </c>
      <c r="H81" s="61">
        <v>0</v>
      </c>
      <c r="I81" s="61">
        <v>0</v>
      </c>
      <c r="J81" s="61">
        <v>33</v>
      </c>
      <c r="K81" s="61">
        <v>13</v>
      </c>
    </row>
    <row r="82" spans="1:11" x14ac:dyDescent="0.15">
      <c r="A82" s="60" t="s">
        <v>342</v>
      </c>
      <c r="B82" s="61" t="s">
        <v>343</v>
      </c>
      <c r="C82" s="61">
        <v>22</v>
      </c>
      <c r="D82" s="61">
        <v>22</v>
      </c>
      <c r="E82" s="61">
        <v>0</v>
      </c>
      <c r="F82" s="61">
        <v>22</v>
      </c>
      <c r="G82" s="61">
        <v>0</v>
      </c>
      <c r="H82" s="61">
        <v>0</v>
      </c>
      <c r="I82" s="61">
        <v>0</v>
      </c>
      <c r="J82" s="61">
        <v>0</v>
      </c>
      <c r="K82" s="61">
        <v>0</v>
      </c>
    </row>
    <row r="83" spans="1:11" x14ac:dyDescent="0.15">
      <c r="A83" s="60" t="s">
        <v>344</v>
      </c>
      <c r="B83" s="61" t="s">
        <v>345</v>
      </c>
      <c r="C83" s="61">
        <v>23</v>
      </c>
      <c r="D83" s="61">
        <v>18</v>
      </c>
      <c r="E83" s="61">
        <v>5</v>
      </c>
      <c r="F83" s="61">
        <v>18</v>
      </c>
      <c r="G83" s="61">
        <v>0</v>
      </c>
      <c r="H83" s="61">
        <v>0</v>
      </c>
      <c r="I83" s="61">
        <v>0</v>
      </c>
      <c r="J83" s="61">
        <v>5</v>
      </c>
      <c r="K83" s="61">
        <v>0</v>
      </c>
    </row>
    <row r="84" spans="1:11" x14ac:dyDescent="0.15">
      <c r="A84" s="60" t="s">
        <v>346</v>
      </c>
      <c r="B84" s="61" t="s">
        <v>347</v>
      </c>
      <c r="C84" s="61">
        <v>68</v>
      </c>
      <c r="D84" s="61">
        <v>27</v>
      </c>
      <c r="E84" s="61">
        <v>41</v>
      </c>
      <c r="F84" s="61">
        <v>18</v>
      </c>
      <c r="G84" s="61">
        <v>9</v>
      </c>
      <c r="H84" s="61">
        <v>0</v>
      </c>
      <c r="I84" s="61">
        <v>0</v>
      </c>
      <c r="J84" s="61">
        <v>29</v>
      </c>
      <c r="K84" s="61">
        <v>12</v>
      </c>
    </row>
    <row r="85" spans="1:11" x14ac:dyDescent="0.15">
      <c r="A85" s="60" t="s">
        <v>348</v>
      </c>
      <c r="B85" s="61" t="s">
        <v>349</v>
      </c>
      <c r="C85" s="61">
        <v>31</v>
      </c>
      <c r="D85" s="61">
        <v>18</v>
      </c>
      <c r="E85" s="61">
        <v>13</v>
      </c>
      <c r="F85" s="61">
        <v>18</v>
      </c>
      <c r="G85" s="61">
        <v>0</v>
      </c>
      <c r="H85" s="61">
        <v>0</v>
      </c>
      <c r="I85" s="61">
        <v>3</v>
      </c>
      <c r="J85" s="61">
        <v>10</v>
      </c>
      <c r="K85" s="61">
        <v>0</v>
      </c>
    </row>
    <row r="86" spans="1:11" x14ac:dyDescent="0.15">
      <c r="A86" s="60" t="s">
        <v>350</v>
      </c>
      <c r="B86" s="61" t="s">
        <v>351</v>
      </c>
      <c r="C86" s="61">
        <v>81</v>
      </c>
      <c r="D86" s="61">
        <v>58</v>
      </c>
      <c r="E86" s="61">
        <v>23</v>
      </c>
      <c r="F86" s="61">
        <v>25</v>
      </c>
      <c r="G86" s="61">
        <v>33</v>
      </c>
      <c r="H86" s="61">
        <v>0</v>
      </c>
      <c r="I86" s="61">
        <v>0</v>
      </c>
      <c r="J86" s="61">
        <v>10</v>
      </c>
      <c r="K86" s="61">
        <v>13</v>
      </c>
    </row>
    <row r="87" spans="1:11" x14ac:dyDescent="0.15">
      <c r="A87" s="60" t="s">
        <v>20</v>
      </c>
      <c r="B87" s="61" t="s">
        <v>352</v>
      </c>
      <c r="C87" s="61">
        <v>39</v>
      </c>
      <c r="D87" s="61">
        <v>20</v>
      </c>
      <c r="E87" s="61">
        <v>19</v>
      </c>
      <c r="F87" s="61">
        <v>14</v>
      </c>
      <c r="G87" s="61">
        <v>6</v>
      </c>
      <c r="H87" s="61">
        <v>0</v>
      </c>
      <c r="I87" s="61">
        <v>1</v>
      </c>
      <c r="J87" s="61">
        <v>18</v>
      </c>
      <c r="K87" s="61">
        <v>0</v>
      </c>
    </row>
    <row r="88" spans="1:11" x14ac:dyDescent="0.15">
      <c r="A88" s="60" t="s">
        <v>21</v>
      </c>
      <c r="B88" s="61" t="s">
        <v>353</v>
      </c>
      <c r="C88" s="61">
        <v>6</v>
      </c>
      <c r="D88" s="61">
        <v>0</v>
      </c>
      <c r="E88" s="61">
        <v>6</v>
      </c>
      <c r="F88" s="61">
        <v>0</v>
      </c>
      <c r="G88" s="61">
        <v>0</v>
      </c>
      <c r="H88" s="61">
        <v>0</v>
      </c>
      <c r="I88" s="61">
        <v>6</v>
      </c>
      <c r="J88" s="61">
        <v>0</v>
      </c>
      <c r="K88" s="61">
        <v>0</v>
      </c>
    </row>
    <row r="89" spans="1:11" x14ac:dyDescent="0.15">
      <c r="A89" s="60" t="s">
        <v>354</v>
      </c>
      <c r="B89" s="61" t="s">
        <v>355</v>
      </c>
      <c r="C89" s="61">
        <v>82</v>
      </c>
      <c r="D89" s="61">
        <v>25</v>
      </c>
      <c r="E89" s="61">
        <v>57</v>
      </c>
      <c r="F89" s="61">
        <v>18</v>
      </c>
      <c r="G89" s="61">
        <v>6</v>
      </c>
      <c r="H89" s="61">
        <v>1</v>
      </c>
      <c r="I89" s="61">
        <v>3</v>
      </c>
      <c r="J89" s="61">
        <v>41</v>
      </c>
      <c r="K89" s="61">
        <v>13</v>
      </c>
    </row>
    <row r="90" spans="1:11" x14ac:dyDescent="0.15">
      <c r="A90" s="60" t="s">
        <v>169</v>
      </c>
      <c r="B90" s="61" t="s">
        <v>356</v>
      </c>
      <c r="C90" s="61">
        <v>77</v>
      </c>
      <c r="D90" s="61">
        <v>20</v>
      </c>
      <c r="E90" s="61">
        <v>57</v>
      </c>
      <c r="F90" s="61">
        <v>19</v>
      </c>
      <c r="G90" s="61">
        <v>1</v>
      </c>
      <c r="H90" s="61">
        <v>0</v>
      </c>
      <c r="I90" s="61">
        <v>1</v>
      </c>
      <c r="J90" s="61">
        <v>42</v>
      </c>
      <c r="K90" s="61">
        <v>14</v>
      </c>
    </row>
    <row r="91" spans="1:11" x14ac:dyDescent="0.15">
      <c r="A91" s="60" t="s">
        <v>357</v>
      </c>
      <c r="B91" s="61" t="s">
        <v>358</v>
      </c>
      <c r="C91" s="61">
        <v>62</v>
      </c>
      <c r="D91" s="61">
        <v>22</v>
      </c>
      <c r="E91" s="61">
        <v>40</v>
      </c>
      <c r="F91" s="61">
        <v>16</v>
      </c>
      <c r="G91" s="61">
        <v>6</v>
      </c>
      <c r="H91" s="61">
        <v>0</v>
      </c>
      <c r="I91" s="61">
        <v>0</v>
      </c>
      <c r="J91" s="61">
        <v>31</v>
      </c>
      <c r="K91" s="61">
        <v>9</v>
      </c>
    </row>
    <row r="92" spans="1:11" x14ac:dyDescent="0.15">
      <c r="A92" s="60" t="s">
        <v>359</v>
      </c>
      <c r="B92" s="61" t="s">
        <v>360</v>
      </c>
      <c r="C92" s="61">
        <v>62</v>
      </c>
      <c r="D92" s="61">
        <v>51</v>
      </c>
      <c r="E92" s="61">
        <v>11</v>
      </c>
      <c r="F92" s="61">
        <v>23</v>
      </c>
      <c r="G92" s="61">
        <v>28</v>
      </c>
      <c r="H92" s="61">
        <v>0</v>
      </c>
      <c r="I92" s="61">
        <v>1</v>
      </c>
      <c r="J92" s="61">
        <v>10</v>
      </c>
      <c r="K92" s="61">
        <v>0</v>
      </c>
    </row>
    <row r="93" spans="1:11" x14ac:dyDescent="0.15">
      <c r="A93" s="60" t="s">
        <v>22</v>
      </c>
      <c r="B93" s="61" t="s">
        <v>361</v>
      </c>
      <c r="C93" s="61">
        <v>26</v>
      </c>
      <c r="D93" s="61">
        <v>22</v>
      </c>
      <c r="E93" s="61">
        <v>4</v>
      </c>
      <c r="F93" s="61">
        <v>14</v>
      </c>
      <c r="G93" s="61">
        <v>8</v>
      </c>
      <c r="H93" s="61">
        <v>0</v>
      </c>
      <c r="I93" s="61">
        <v>0</v>
      </c>
      <c r="J93" s="61">
        <v>4</v>
      </c>
      <c r="K93" s="61">
        <v>0</v>
      </c>
    </row>
    <row r="94" spans="1:11" x14ac:dyDescent="0.15">
      <c r="A94" s="60" t="s">
        <v>23</v>
      </c>
      <c r="B94" s="61" t="s">
        <v>362</v>
      </c>
      <c r="C94" s="61">
        <v>33</v>
      </c>
      <c r="D94" s="61">
        <v>16</v>
      </c>
      <c r="E94" s="61">
        <v>17</v>
      </c>
      <c r="F94" s="61">
        <v>5</v>
      </c>
      <c r="G94" s="61">
        <v>11</v>
      </c>
      <c r="H94" s="61">
        <v>0</v>
      </c>
      <c r="I94" s="61">
        <v>2</v>
      </c>
      <c r="J94" s="61">
        <v>14</v>
      </c>
      <c r="K94" s="61">
        <v>1</v>
      </c>
    </row>
    <row r="95" spans="1:11" x14ac:dyDescent="0.15">
      <c r="A95" s="60" t="s">
        <v>24</v>
      </c>
      <c r="B95" s="61" t="s">
        <v>363</v>
      </c>
      <c r="C95" s="61">
        <v>38</v>
      </c>
      <c r="D95" s="61">
        <v>13</v>
      </c>
      <c r="E95" s="61">
        <v>25</v>
      </c>
      <c r="F95" s="61">
        <v>13</v>
      </c>
      <c r="G95" s="61">
        <v>0</v>
      </c>
      <c r="H95" s="61">
        <v>0</v>
      </c>
      <c r="I95" s="61">
        <v>2</v>
      </c>
      <c r="J95" s="61">
        <v>22</v>
      </c>
      <c r="K95" s="61">
        <v>1</v>
      </c>
    </row>
    <row r="96" spans="1:11" x14ac:dyDescent="0.15">
      <c r="A96" s="60" t="s">
        <v>189</v>
      </c>
      <c r="B96" s="61" t="s">
        <v>364</v>
      </c>
      <c r="C96" s="61">
        <v>61</v>
      </c>
      <c r="D96" s="61">
        <v>26</v>
      </c>
      <c r="E96" s="61">
        <v>35</v>
      </c>
      <c r="F96" s="61">
        <v>14</v>
      </c>
      <c r="G96" s="61">
        <v>3</v>
      </c>
      <c r="H96" s="61">
        <v>9</v>
      </c>
      <c r="I96" s="61">
        <v>0</v>
      </c>
      <c r="J96" s="61">
        <v>31</v>
      </c>
      <c r="K96" s="61">
        <v>4</v>
      </c>
    </row>
    <row r="97" spans="1:11" x14ac:dyDescent="0.15">
      <c r="A97" s="60" t="s">
        <v>25</v>
      </c>
      <c r="B97" s="61" t="s">
        <v>365</v>
      </c>
      <c r="C97" s="61">
        <v>11</v>
      </c>
      <c r="D97" s="61">
        <v>3</v>
      </c>
      <c r="E97" s="61">
        <v>8</v>
      </c>
      <c r="F97" s="61">
        <v>3</v>
      </c>
      <c r="G97" s="61">
        <v>0</v>
      </c>
      <c r="H97" s="61">
        <v>0</v>
      </c>
      <c r="I97" s="61">
        <v>8</v>
      </c>
      <c r="J97" s="61">
        <v>0</v>
      </c>
      <c r="K97" s="61">
        <v>0</v>
      </c>
    </row>
    <row r="98" spans="1:11" x14ac:dyDescent="0.15">
      <c r="A98" s="60" t="s">
        <v>176</v>
      </c>
      <c r="B98" s="61" t="s">
        <v>366</v>
      </c>
      <c r="C98" s="61">
        <v>54</v>
      </c>
      <c r="D98" s="61">
        <v>44</v>
      </c>
      <c r="E98" s="61">
        <v>10</v>
      </c>
      <c r="F98" s="61">
        <v>15</v>
      </c>
      <c r="G98" s="61">
        <v>29</v>
      </c>
      <c r="H98" s="61">
        <v>0</v>
      </c>
      <c r="I98" s="61">
        <v>0</v>
      </c>
      <c r="J98" s="61">
        <v>10</v>
      </c>
      <c r="K98" s="61">
        <v>0</v>
      </c>
    </row>
    <row r="99" spans="1:11" x14ac:dyDescent="0.15">
      <c r="A99" s="60" t="s">
        <v>159</v>
      </c>
      <c r="B99" s="61" t="s">
        <v>367</v>
      </c>
      <c r="C99" s="61">
        <v>43</v>
      </c>
      <c r="D99" s="61">
        <v>9</v>
      </c>
      <c r="E99" s="61">
        <v>34</v>
      </c>
      <c r="F99" s="61">
        <v>9</v>
      </c>
      <c r="G99" s="61">
        <v>0</v>
      </c>
      <c r="H99" s="61">
        <v>0</v>
      </c>
      <c r="I99" s="61">
        <v>0</v>
      </c>
      <c r="J99" s="61">
        <v>34</v>
      </c>
      <c r="K99" s="61">
        <v>0</v>
      </c>
    </row>
    <row r="100" spans="1:11" x14ac:dyDescent="0.15">
      <c r="A100" s="60" t="s">
        <v>368</v>
      </c>
      <c r="B100" s="61" t="s">
        <v>369</v>
      </c>
      <c r="C100" s="61">
        <v>37</v>
      </c>
      <c r="D100" s="61">
        <v>28</v>
      </c>
      <c r="E100" s="61">
        <v>9</v>
      </c>
      <c r="F100" s="61">
        <v>21</v>
      </c>
      <c r="G100" s="61">
        <v>7</v>
      </c>
      <c r="H100" s="61">
        <v>0</v>
      </c>
      <c r="I100" s="61">
        <v>0</v>
      </c>
      <c r="J100" s="61">
        <v>9</v>
      </c>
      <c r="K100" s="61">
        <v>0</v>
      </c>
    </row>
    <row r="101" spans="1:11" x14ac:dyDescent="0.15">
      <c r="A101" s="60" t="s">
        <v>370</v>
      </c>
      <c r="B101" s="61" t="s">
        <v>371</v>
      </c>
      <c r="C101" s="61">
        <v>3</v>
      </c>
      <c r="D101" s="61">
        <v>3</v>
      </c>
      <c r="E101" s="61">
        <v>0</v>
      </c>
      <c r="F101" s="61">
        <v>3</v>
      </c>
      <c r="G101" s="61">
        <v>0</v>
      </c>
      <c r="H101" s="61">
        <v>0</v>
      </c>
      <c r="I101" s="61">
        <v>0</v>
      </c>
      <c r="J101" s="61">
        <v>0</v>
      </c>
      <c r="K101" s="61">
        <v>0</v>
      </c>
    </row>
    <row r="102" spans="1:11" x14ac:dyDescent="0.15">
      <c r="A102" s="60" t="s">
        <v>372</v>
      </c>
      <c r="B102" s="61" t="s">
        <v>373</v>
      </c>
      <c r="C102" s="61">
        <v>70</v>
      </c>
      <c r="D102" s="61">
        <v>62</v>
      </c>
      <c r="E102" s="61">
        <v>8</v>
      </c>
      <c r="F102" s="61">
        <v>17</v>
      </c>
      <c r="G102" s="61">
        <v>40</v>
      </c>
      <c r="H102" s="61">
        <v>5</v>
      </c>
      <c r="I102" s="61">
        <v>0</v>
      </c>
      <c r="J102" s="61">
        <v>0</v>
      </c>
      <c r="K102" s="61">
        <v>8</v>
      </c>
    </row>
    <row r="103" spans="1:11" x14ac:dyDescent="0.15">
      <c r="A103" s="60" t="s">
        <v>374</v>
      </c>
      <c r="B103" s="61" t="s">
        <v>375</v>
      </c>
      <c r="C103" s="61">
        <v>27</v>
      </c>
      <c r="D103" s="61">
        <v>14</v>
      </c>
      <c r="E103" s="61">
        <v>13</v>
      </c>
      <c r="F103" s="61">
        <v>9</v>
      </c>
      <c r="G103" s="61">
        <v>5</v>
      </c>
      <c r="H103" s="61">
        <v>0</v>
      </c>
      <c r="I103" s="61">
        <v>0</v>
      </c>
      <c r="J103" s="61">
        <v>12</v>
      </c>
      <c r="K103" s="61">
        <v>1</v>
      </c>
    </row>
    <row r="104" spans="1:11" x14ac:dyDescent="0.15">
      <c r="A104" s="60" t="s">
        <v>376</v>
      </c>
      <c r="B104" s="61" t="s">
        <v>377</v>
      </c>
      <c r="C104" s="61">
        <v>46</v>
      </c>
      <c r="D104" s="61">
        <v>15</v>
      </c>
      <c r="E104" s="61">
        <v>31</v>
      </c>
      <c r="F104" s="61">
        <v>9</v>
      </c>
      <c r="G104" s="61">
        <v>6</v>
      </c>
      <c r="H104" s="61">
        <v>0</v>
      </c>
      <c r="I104" s="61">
        <v>2</v>
      </c>
      <c r="J104" s="61">
        <v>16</v>
      </c>
      <c r="K104" s="61">
        <v>13</v>
      </c>
    </row>
    <row r="105" spans="1:11" x14ac:dyDescent="0.15">
      <c r="A105" s="60" t="s">
        <v>27</v>
      </c>
      <c r="B105" s="61" t="s">
        <v>378</v>
      </c>
      <c r="C105" s="61">
        <v>49</v>
      </c>
      <c r="D105" s="61">
        <v>16</v>
      </c>
      <c r="E105" s="61">
        <v>33</v>
      </c>
      <c r="F105" s="61">
        <v>9</v>
      </c>
      <c r="G105" s="61">
        <v>4</v>
      </c>
      <c r="H105" s="61">
        <v>3</v>
      </c>
      <c r="I105" s="61">
        <v>3</v>
      </c>
      <c r="J105" s="61">
        <v>30</v>
      </c>
      <c r="K105" s="61">
        <v>0</v>
      </c>
    </row>
    <row r="106" spans="1:11" x14ac:dyDescent="0.15">
      <c r="A106" s="60" t="s">
        <v>379</v>
      </c>
      <c r="B106" s="61" t="s">
        <v>380</v>
      </c>
      <c r="C106" s="61">
        <v>49</v>
      </c>
      <c r="D106" s="61">
        <v>34</v>
      </c>
      <c r="E106" s="61">
        <v>15</v>
      </c>
      <c r="F106" s="61">
        <v>15</v>
      </c>
      <c r="G106" s="61">
        <v>19</v>
      </c>
      <c r="H106" s="61">
        <v>0</v>
      </c>
      <c r="I106" s="61">
        <v>0</v>
      </c>
      <c r="J106" s="61">
        <v>15</v>
      </c>
      <c r="K106" s="61">
        <v>0</v>
      </c>
    </row>
    <row r="107" spans="1:11" x14ac:dyDescent="0.15">
      <c r="A107" s="60" t="s">
        <v>381</v>
      </c>
      <c r="B107" s="61" t="s">
        <v>382</v>
      </c>
      <c r="C107" s="61">
        <v>43</v>
      </c>
      <c r="D107" s="61">
        <v>11</v>
      </c>
      <c r="E107" s="61">
        <v>32</v>
      </c>
      <c r="F107" s="61">
        <v>9</v>
      </c>
      <c r="G107" s="61">
        <v>2</v>
      </c>
      <c r="H107" s="61">
        <v>0</v>
      </c>
      <c r="I107" s="61">
        <v>15</v>
      </c>
      <c r="J107" s="61">
        <v>17</v>
      </c>
      <c r="K107" s="61">
        <v>0</v>
      </c>
    </row>
    <row r="108" spans="1:11" x14ac:dyDescent="0.15">
      <c r="A108" s="60" t="s">
        <v>383</v>
      </c>
      <c r="B108" s="61" t="s">
        <v>384</v>
      </c>
      <c r="C108" s="61">
        <v>37</v>
      </c>
      <c r="D108" s="61">
        <v>15</v>
      </c>
      <c r="E108" s="61">
        <v>22</v>
      </c>
      <c r="F108" s="61">
        <v>15</v>
      </c>
      <c r="G108" s="61">
        <v>0</v>
      </c>
      <c r="H108" s="61">
        <v>0</v>
      </c>
      <c r="I108" s="61">
        <v>9</v>
      </c>
      <c r="J108" s="61">
        <v>13</v>
      </c>
      <c r="K108" s="61">
        <v>0</v>
      </c>
    </row>
    <row r="109" spans="1:11" x14ac:dyDescent="0.15">
      <c r="A109" s="60" t="s">
        <v>385</v>
      </c>
      <c r="B109" s="61" t="s">
        <v>386</v>
      </c>
      <c r="C109" s="61">
        <v>58</v>
      </c>
      <c r="D109" s="61">
        <v>17</v>
      </c>
      <c r="E109" s="61">
        <v>41</v>
      </c>
      <c r="F109" s="61">
        <v>15</v>
      </c>
      <c r="G109" s="61">
        <v>2</v>
      </c>
      <c r="H109" s="61">
        <v>0</v>
      </c>
      <c r="I109" s="61">
        <v>0</v>
      </c>
      <c r="J109" s="61">
        <v>40</v>
      </c>
      <c r="K109" s="61">
        <v>1</v>
      </c>
    </row>
    <row r="110" spans="1:11" x14ac:dyDescent="0.15">
      <c r="A110" s="60" t="s">
        <v>387</v>
      </c>
      <c r="B110" s="61" t="s">
        <v>388</v>
      </c>
      <c r="C110" s="61">
        <v>13</v>
      </c>
      <c r="D110" s="61">
        <v>5</v>
      </c>
      <c r="E110" s="61">
        <v>8</v>
      </c>
      <c r="F110" s="61">
        <v>5</v>
      </c>
      <c r="G110" s="61">
        <v>0</v>
      </c>
      <c r="H110" s="61">
        <v>0</v>
      </c>
      <c r="I110" s="61">
        <v>7</v>
      </c>
      <c r="J110" s="61">
        <v>0</v>
      </c>
      <c r="K110" s="61">
        <v>1</v>
      </c>
    </row>
    <row r="111" spans="1:11" x14ac:dyDescent="0.15">
      <c r="A111" s="60" t="s">
        <v>28</v>
      </c>
      <c r="B111" s="61" t="s">
        <v>389</v>
      </c>
      <c r="C111" s="61">
        <v>38</v>
      </c>
      <c r="D111" s="61">
        <v>10</v>
      </c>
      <c r="E111" s="61">
        <v>28</v>
      </c>
      <c r="F111" s="61">
        <v>10</v>
      </c>
      <c r="G111" s="61">
        <v>0</v>
      </c>
      <c r="H111" s="61">
        <v>0</v>
      </c>
      <c r="I111" s="61">
        <v>1</v>
      </c>
      <c r="J111" s="61">
        <v>27</v>
      </c>
      <c r="K111" s="61">
        <v>0</v>
      </c>
    </row>
    <row r="112" spans="1:11" x14ac:dyDescent="0.15">
      <c r="A112" s="60" t="s">
        <v>29</v>
      </c>
      <c r="B112" s="61" t="s">
        <v>390</v>
      </c>
      <c r="C112" s="61">
        <v>15</v>
      </c>
      <c r="D112" s="61">
        <v>9</v>
      </c>
      <c r="E112" s="61">
        <v>6</v>
      </c>
      <c r="F112" s="61">
        <v>8</v>
      </c>
      <c r="G112" s="61">
        <v>1</v>
      </c>
      <c r="H112" s="61">
        <v>0</v>
      </c>
      <c r="I112" s="61">
        <v>0</v>
      </c>
      <c r="J112" s="61">
        <v>6</v>
      </c>
      <c r="K112" s="61">
        <v>0</v>
      </c>
    </row>
    <row r="113" spans="1:11" x14ac:dyDescent="0.15">
      <c r="A113" s="60" t="s">
        <v>391</v>
      </c>
      <c r="B113" s="61" t="s">
        <v>392</v>
      </c>
      <c r="C113" s="61">
        <v>32</v>
      </c>
      <c r="D113" s="61">
        <v>6</v>
      </c>
      <c r="E113" s="61">
        <v>26</v>
      </c>
      <c r="F113" s="61">
        <v>3</v>
      </c>
      <c r="G113" s="61">
        <v>3</v>
      </c>
      <c r="H113" s="61">
        <v>0</v>
      </c>
      <c r="I113" s="61">
        <v>10</v>
      </c>
      <c r="J113" s="61">
        <v>16</v>
      </c>
      <c r="K113" s="61">
        <v>0</v>
      </c>
    </row>
    <row r="114" spans="1:11" x14ac:dyDescent="0.15">
      <c r="A114" s="60" t="s">
        <v>393</v>
      </c>
      <c r="B114" s="61" t="s">
        <v>394</v>
      </c>
      <c r="C114" s="61">
        <v>26</v>
      </c>
      <c r="D114" s="61">
        <v>18</v>
      </c>
      <c r="E114" s="61">
        <v>8</v>
      </c>
      <c r="F114" s="61">
        <v>14</v>
      </c>
      <c r="G114" s="61">
        <v>4</v>
      </c>
      <c r="H114" s="61">
        <v>0</v>
      </c>
      <c r="I114" s="61">
        <v>3</v>
      </c>
      <c r="J114" s="61">
        <v>5</v>
      </c>
      <c r="K114" s="61">
        <v>0</v>
      </c>
    </row>
    <row r="115" spans="1:11" x14ac:dyDescent="0.15">
      <c r="A115" s="60" t="s">
        <v>172</v>
      </c>
      <c r="B115" s="61" t="s">
        <v>395</v>
      </c>
      <c r="C115" s="61">
        <v>61</v>
      </c>
      <c r="D115" s="61">
        <v>42</v>
      </c>
      <c r="E115" s="61">
        <v>19</v>
      </c>
      <c r="F115" s="61">
        <v>14</v>
      </c>
      <c r="G115" s="61">
        <v>23</v>
      </c>
      <c r="H115" s="61">
        <v>5</v>
      </c>
      <c r="I115" s="61">
        <v>6</v>
      </c>
      <c r="J115" s="61">
        <v>5</v>
      </c>
      <c r="K115" s="61">
        <v>8</v>
      </c>
    </row>
    <row r="116" spans="1:11" x14ac:dyDescent="0.15">
      <c r="A116" s="60" t="s">
        <v>396</v>
      </c>
      <c r="B116" s="61" t="s">
        <v>397</v>
      </c>
      <c r="C116" s="61">
        <v>16</v>
      </c>
      <c r="D116" s="61">
        <v>14</v>
      </c>
      <c r="E116" s="61">
        <v>2</v>
      </c>
      <c r="F116" s="61">
        <v>14</v>
      </c>
      <c r="G116" s="61">
        <v>0</v>
      </c>
      <c r="H116" s="61">
        <v>0</v>
      </c>
      <c r="I116" s="61">
        <v>2</v>
      </c>
      <c r="J116" s="61">
        <v>0</v>
      </c>
      <c r="K116" s="61">
        <v>0</v>
      </c>
    </row>
    <row r="117" spans="1:11" x14ac:dyDescent="0.15">
      <c r="A117" s="60" t="s">
        <v>398</v>
      </c>
      <c r="B117" s="61" t="s">
        <v>399</v>
      </c>
      <c r="C117" s="61">
        <v>17</v>
      </c>
      <c r="D117" s="61">
        <v>12</v>
      </c>
      <c r="E117" s="61">
        <v>5</v>
      </c>
      <c r="F117" s="61">
        <v>10</v>
      </c>
      <c r="G117" s="61">
        <v>2</v>
      </c>
      <c r="H117" s="61">
        <v>0</v>
      </c>
      <c r="I117" s="61">
        <v>4</v>
      </c>
      <c r="J117" s="61">
        <v>0</v>
      </c>
      <c r="K117" s="61">
        <v>1</v>
      </c>
    </row>
    <row r="118" spans="1:11" x14ac:dyDescent="0.15">
      <c r="A118" s="60" t="s">
        <v>158</v>
      </c>
      <c r="B118" s="61" t="s">
        <v>400</v>
      </c>
      <c r="C118" s="61">
        <v>21</v>
      </c>
      <c r="D118" s="61">
        <v>18</v>
      </c>
      <c r="E118" s="61">
        <v>3</v>
      </c>
      <c r="F118" s="61">
        <v>14</v>
      </c>
      <c r="G118" s="61">
        <v>4</v>
      </c>
      <c r="H118" s="61">
        <v>0</v>
      </c>
      <c r="I118" s="61">
        <v>0</v>
      </c>
      <c r="J118" s="61">
        <v>2</v>
      </c>
      <c r="K118" s="61">
        <v>1</v>
      </c>
    </row>
    <row r="119" spans="1:11" x14ac:dyDescent="0.15">
      <c r="A119" s="60" t="s">
        <v>401</v>
      </c>
      <c r="B119" s="61" t="s">
        <v>402</v>
      </c>
      <c r="C119" s="61">
        <v>2</v>
      </c>
      <c r="D119" s="61">
        <v>1</v>
      </c>
      <c r="E119" s="61">
        <v>1</v>
      </c>
      <c r="F119" s="61">
        <v>1</v>
      </c>
      <c r="G119" s="61">
        <v>0</v>
      </c>
      <c r="H119" s="61">
        <v>0</v>
      </c>
      <c r="I119" s="61">
        <v>1</v>
      </c>
      <c r="J119" s="61">
        <v>0</v>
      </c>
      <c r="K119" s="61">
        <v>0</v>
      </c>
    </row>
    <row r="120" spans="1:11" x14ac:dyDescent="0.15">
      <c r="A120" s="60" t="s">
        <v>403</v>
      </c>
      <c r="B120" s="61" t="s">
        <v>404</v>
      </c>
      <c r="C120" s="61">
        <v>25</v>
      </c>
      <c r="D120" s="61">
        <v>12</v>
      </c>
      <c r="E120" s="61">
        <v>13</v>
      </c>
      <c r="F120" s="61">
        <v>7</v>
      </c>
      <c r="G120" s="61">
        <v>2</v>
      </c>
      <c r="H120" s="61">
        <v>3</v>
      </c>
      <c r="I120" s="61">
        <v>1</v>
      </c>
      <c r="J120" s="61">
        <v>9</v>
      </c>
      <c r="K120" s="61">
        <v>3</v>
      </c>
    </row>
    <row r="121" spans="1:11" x14ac:dyDescent="0.15">
      <c r="A121" s="60" t="s">
        <v>30</v>
      </c>
      <c r="B121" s="61" t="s">
        <v>405</v>
      </c>
      <c r="C121" s="61">
        <v>71</v>
      </c>
      <c r="D121" s="61">
        <v>53</v>
      </c>
      <c r="E121" s="61">
        <v>18</v>
      </c>
      <c r="F121" s="61">
        <v>17</v>
      </c>
      <c r="G121" s="61">
        <v>36</v>
      </c>
      <c r="H121" s="61">
        <v>0</v>
      </c>
      <c r="I121" s="61">
        <v>0</v>
      </c>
      <c r="J121" s="61">
        <v>5</v>
      </c>
      <c r="K121" s="61">
        <v>13</v>
      </c>
    </row>
    <row r="122" spans="1:11" x14ac:dyDescent="0.15">
      <c r="A122" s="60" t="s">
        <v>406</v>
      </c>
      <c r="B122" s="61" t="s">
        <v>407</v>
      </c>
      <c r="C122" s="61">
        <v>24</v>
      </c>
      <c r="D122" s="61">
        <v>11</v>
      </c>
      <c r="E122" s="61">
        <v>13</v>
      </c>
      <c r="F122" s="61">
        <v>11</v>
      </c>
      <c r="G122" s="61">
        <v>0</v>
      </c>
      <c r="H122" s="61">
        <v>0</v>
      </c>
      <c r="I122" s="61">
        <v>3</v>
      </c>
      <c r="J122" s="61">
        <v>10</v>
      </c>
      <c r="K122" s="61">
        <v>0</v>
      </c>
    </row>
    <row r="123" spans="1:11" x14ac:dyDescent="0.15">
      <c r="A123" s="60" t="s">
        <v>408</v>
      </c>
      <c r="B123" s="61" t="s">
        <v>409</v>
      </c>
      <c r="C123" s="61">
        <v>13</v>
      </c>
      <c r="D123" s="61">
        <v>6</v>
      </c>
      <c r="E123" s="61">
        <v>7</v>
      </c>
      <c r="F123" s="61">
        <v>6</v>
      </c>
      <c r="G123" s="61">
        <v>0</v>
      </c>
      <c r="H123" s="61">
        <v>0</v>
      </c>
      <c r="I123" s="61">
        <v>6</v>
      </c>
      <c r="J123" s="61">
        <v>0</v>
      </c>
      <c r="K123" s="61">
        <v>1</v>
      </c>
    </row>
    <row r="124" spans="1:11" x14ac:dyDescent="0.15">
      <c r="A124" s="60" t="s">
        <v>165</v>
      </c>
      <c r="B124" s="61" t="s">
        <v>410</v>
      </c>
      <c r="C124" s="61">
        <v>56</v>
      </c>
      <c r="D124" s="61">
        <v>24</v>
      </c>
      <c r="E124" s="61">
        <v>32</v>
      </c>
      <c r="F124" s="61">
        <v>18</v>
      </c>
      <c r="G124" s="61">
        <v>6</v>
      </c>
      <c r="H124" s="61">
        <v>0</v>
      </c>
      <c r="I124" s="61">
        <v>0</v>
      </c>
      <c r="J124" s="61">
        <v>19</v>
      </c>
      <c r="K124" s="61">
        <v>13</v>
      </c>
    </row>
    <row r="125" spans="1:11" x14ac:dyDescent="0.15">
      <c r="A125" s="60" t="s">
        <v>160</v>
      </c>
      <c r="B125" s="61" t="s">
        <v>411</v>
      </c>
      <c r="C125" s="61">
        <v>51</v>
      </c>
      <c r="D125" s="61">
        <v>19</v>
      </c>
      <c r="E125" s="61">
        <v>32</v>
      </c>
      <c r="F125" s="61">
        <v>12</v>
      </c>
      <c r="G125" s="61">
        <v>6</v>
      </c>
      <c r="H125" s="61">
        <v>1</v>
      </c>
      <c r="I125" s="61">
        <v>0</v>
      </c>
      <c r="J125" s="61">
        <v>19</v>
      </c>
      <c r="K125" s="61">
        <v>13</v>
      </c>
    </row>
    <row r="126" spans="1:11" x14ac:dyDescent="0.15">
      <c r="A126" s="60" t="s">
        <v>412</v>
      </c>
      <c r="B126" s="61" t="s">
        <v>413</v>
      </c>
      <c r="C126" s="61">
        <v>38</v>
      </c>
      <c r="D126" s="61">
        <v>35</v>
      </c>
      <c r="E126" s="61">
        <v>3</v>
      </c>
      <c r="F126" s="61">
        <v>12</v>
      </c>
      <c r="G126" s="61">
        <v>23</v>
      </c>
      <c r="H126" s="61">
        <v>0</v>
      </c>
      <c r="I126" s="61">
        <v>3</v>
      </c>
      <c r="J126" s="61">
        <v>0</v>
      </c>
      <c r="K126" s="61">
        <v>0</v>
      </c>
    </row>
    <row r="127" spans="1:11" x14ac:dyDescent="0.15">
      <c r="A127" s="60" t="s">
        <v>161</v>
      </c>
      <c r="B127" s="61" t="s">
        <v>414</v>
      </c>
      <c r="C127" s="61">
        <v>34</v>
      </c>
      <c r="D127" s="61">
        <v>17</v>
      </c>
      <c r="E127" s="61">
        <v>17</v>
      </c>
      <c r="F127" s="61">
        <v>17</v>
      </c>
      <c r="G127" s="61">
        <v>0</v>
      </c>
      <c r="H127" s="61">
        <v>0</v>
      </c>
      <c r="I127" s="61">
        <v>0</v>
      </c>
      <c r="J127" s="61">
        <v>17</v>
      </c>
      <c r="K127" s="61">
        <v>0</v>
      </c>
    </row>
    <row r="128" spans="1:11" x14ac:dyDescent="0.15">
      <c r="A128" s="60" t="s">
        <v>415</v>
      </c>
      <c r="B128" s="61" t="s">
        <v>416</v>
      </c>
      <c r="C128" s="61">
        <v>53</v>
      </c>
      <c r="D128" s="61">
        <v>31</v>
      </c>
      <c r="E128" s="61">
        <v>22</v>
      </c>
      <c r="F128" s="61">
        <v>21</v>
      </c>
      <c r="G128" s="61">
        <v>10</v>
      </c>
      <c r="H128" s="61">
        <v>0</v>
      </c>
      <c r="I128" s="61">
        <v>0</v>
      </c>
      <c r="J128" s="61">
        <v>22</v>
      </c>
      <c r="K128" s="61">
        <v>0</v>
      </c>
    </row>
    <row r="129" spans="1:11" x14ac:dyDescent="0.15">
      <c r="A129" s="60" t="s">
        <v>417</v>
      </c>
      <c r="B129" s="61" t="s">
        <v>418</v>
      </c>
      <c r="C129" s="61">
        <v>69</v>
      </c>
      <c r="D129" s="61">
        <v>59</v>
      </c>
      <c r="E129" s="61">
        <v>10</v>
      </c>
      <c r="F129" s="61">
        <v>14</v>
      </c>
      <c r="G129" s="61">
        <v>37</v>
      </c>
      <c r="H129" s="61">
        <v>8</v>
      </c>
      <c r="I129" s="61">
        <v>5</v>
      </c>
      <c r="J129" s="61">
        <v>4</v>
      </c>
      <c r="K129" s="61">
        <v>1</v>
      </c>
    </row>
    <row r="130" spans="1:11" x14ac:dyDescent="0.15">
      <c r="A130" s="60" t="s">
        <v>419</v>
      </c>
      <c r="B130" s="61" t="s">
        <v>420</v>
      </c>
      <c r="C130" s="61">
        <v>25</v>
      </c>
      <c r="D130" s="61">
        <v>14</v>
      </c>
      <c r="E130" s="61">
        <v>11</v>
      </c>
      <c r="F130" s="61">
        <v>11</v>
      </c>
      <c r="G130" s="61">
        <v>3</v>
      </c>
      <c r="H130" s="61">
        <v>0</v>
      </c>
      <c r="I130" s="61">
        <v>9</v>
      </c>
      <c r="J130" s="61">
        <v>2</v>
      </c>
      <c r="K130" s="61">
        <v>0</v>
      </c>
    </row>
    <row r="131" spans="1:11" x14ac:dyDescent="0.15">
      <c r="A131" s="60" t="s">
        <v>421</v>
      </c>
      <c r="B131" s="61" t="s">
        <v>422</v>
      </c>
      <c r="C131" s="61">
        <v>0</v>
      </c>
      <c r="D131" s="61">
        <v>0</v>
      </c>
      <c r="E131" s="61">
        <v>0</v>
      </c>
      <c r="F131" s="61">
        <v>0</v>
      </c>
      <c r="G131" s="61">
        <v>0</v>
      </c>
      <c r="H131" s="61">
        <v>0</v>
      </c>
      <c r="I131" s="61">
        <v>0</v>
      </c>
      <c r="J131" s="61">
        <v>0</v>
      </c>
      <c r="K131" s="61">
        <v>0</v>
      </c>
    </row>
    <row r="132" spans="1:11" x14ac:dyDescent="0.15">
      <c r="A132" s="60" t="s">
        <v>423</v>
      </c>
      <c r="B132" s="61" t="s">
        <v>424</v>
      </c>
      <c r="C132" s="61">
        <v>82</v>
      </c>
      <c r="D132" s="61">
        <v>35</v>
      </c>
      <c r="E132" s="61">
        <v>47</v>
      </c>
      <c r="F132" s="61">
        <v>23</v>
      </c>
      <c r="G132" s="61">
        <v>10</v>
      </c>
      <c r="H132" s="61">
        <v>2</v>
      </c>
      <c r="I132" s="61">
        <v>0</v>
      </c>
      <c r="J132" s="61">
        <v>37</v>
      </c>
      <c r="K132" s="61">
        <v>10</v>
      </c>
    </row>
    <row r="133" spans="1:11" x14ac:dyDescent="0.15">
      <c r="A133" s="60" t="s">
        <v>31</v>
      </c>
      <c r="B133" s="61" t="s">
        <v>425</v>
      </c>
      <c r="C133" s="61">
        <v>31</v>
      </c>
      <c r="D133" s="61">
        <v>12</v>
      </c>
      <c r="E133" s="61">
        <v>19</v>
      </c>
      <c r="F133" s="61">
        <v>7</v>
      </c>
      <c r="G133" s="61">
        <v>5</v>
      </c>
      <c r="H133" s="61">
        <v>0</v>
      </c>
      <c r="I133" s="61">
        <v>3</v>
      </c>
      <c r="J133" s="61">
        <v>16</v>
      </c>
      <c r="K133" s="61">
        <v>0</v>
      </c>
    </row>
    <row r="134" spans="1:11" x14ac:dyDescent="0.15">
      <c r="A134" s="60" t="s">
        <v>32</v>
      </c>
      <c r="B134" s="61" t="s">
        <v>426</v>
      </c>
      <c r="C134" s="61">
        <v>24</v>
      </c>
      <c r="D134" s="61">
        <v>8</v>
      </c>
      <c r="E134" s="61">
        <v>16</v>
      </c>
      <c r="F134" s="61">
        <v>3</v>
      </c>
      <c r="G134" s="61">
        <v>2</v>
      </c>
      <c r="H134" s="61">
        <v>3</v>
      </c>
      <c r="I134" s="61">
        <v>5</v>
      </c>
      <c r="J134" s="61">
        <v>1</v>
      </c>
      <c r="K134" s="61">
        <v>10</v>
      </c>
    </row>
    <row r="135" spans="1:11" x14ac:dyDescent="0.15">
      <c r="A135" s="60" t="s">
        <v>427</v>
      </c>
      <c r="B135" s="61" t="s">
        <v>428</v>
      </c>
      <c r="C135" s="61">
        <v>15</v>
      </c>
      <c r="D135" s="61">
        <v>0</v>
      </c>
      <c r="E135" s="61">
        <v>15</v>
      </c>
      <c r="F135" s="61">
        <v>0</v>
      </c>
      <c r="G135" s="61">
        <v>0</v>
      </c>
      <c r="H135" s="61">
        <v>0</v>
      </c>
      <c r="I135" s="61">
        <v>15</v>
      </c>
      <c r="J135" s="61">
        <v>0</v>
      </c>
      <c r="K135" s="61">
        <v>0</v>
      </c>
    </row>
    <row r="136" spans="1:11" x14ac:dyDescent="0.15">
      <c r="A136" s="60" t="s">
        <v>429</v>
      </c>
      <c r="B136" s="61" t="s">
        <v>430</v>
      </c>
      <c r="C136" s="61">
        <v>16</v>
      </c>
      <c r="D136" s="61">
        <v>16</v>
      </c>
      <c r="E136" s="61">
        <v>0</v>
      </c>
      <c r="F136" s="61">
        <v>16</v>
      </c>
      <c r="G136" s="61">
        <v>0</v>
      </c>
      <c r="H136" s="61">
        <v>0</v>
      </c>
      <c r="I136" s="61">
        <v>0</v>
      </c>
      <c r="J136" s="61">
        <v>0</v>
      </c>
      <c r="K136" s="61">
        <v>0</v>
      </c>
    </row>
    <row r="137" spans="1:11" x14ac:dyDescent="0.15">
      <c r="A137" s="60" t="s">
        <v>431</v>
      </c>
      <c r="B137" s="61" t="s">
        <v>432</v>
      </c>
      <c r="C137" s="61">
        <v>24</v>
      </c>
      <c r="D137" s="61">
        <v>18</v>
      </c>
      <c r="E137" s="61">
        <v>6</v>
      </c>
      <c r="F137" s="61">
        <v>15</v>
      </c>
      <c r="G137" s="61">
        <v>3</v>
      </c>
      <c r="H137" s="61">
        <v>0</v>
      </c>
      <c r="I137" s="61">
        <v>0</v>
      </c>
      <c r="J137" s="61">
        <v>6</v>
      </c>
      <c r="K137" s="61">
        <v>0</v>
      </c>
    </row>
    <row r="138" spans="1:11" x14ac:dyDescent="0.15">
      <c r="A138" s="60" t="s">
        <v>433</v>
      </c>
      <c r="B138" s="61" t="s">
        <v>434</v>
      </c>
      <c r="C138" s="61">
        <v>1</v>
      </c>
      <c r="D138" s="61">
        <v>1</v>
      </c>
      <c r="E138" s="61">
        <v>0</v>
      </c>
      <c r="F138" s="61">
        <v>1</v>
      </c>
      <c r="G138" s="61">
        <v>0</v>
      </c>
      <c r="H138" s="61">
        <v>0</v>
      </c>
      <c r="I138" s="61">
        <v>0</v>
      </c>
      <c r="J138" s="61">
        <v>0</v>
      </c>
      <c r="K138" s="61">
        <v>0</v>
      </c>
    </row>
    <row r="139" spans="1:11" x14ac:dyDescent="0.15">
      <c r="A139" s="60" t="s">
        <v>168</v>
      </c>
      <c r="B139" s="61" t="s">
        <v>435</v>
      </c>
      <c r="C139" s="61">
        <v>54</v>
      </c>
      <c r="D139" s="61">
        <v>20</v>
      </c>
      <c r="E139" s="61">
        <v>34</v>
      </c>
      <c r="F139" s="61">
        <v>16</v>
      </c>
      <c r="G139" s="61">
        <v>4</v>
      </c>
      <c r="H139" s="61">
        <v>0</v>
      </c>
      <c r="I139" s="61">
        <v>0</v>
      </c>
      <c r="J139" s="61">
        <v>34</v>
      </c>
      <c r="K139" s="61">
        <v>0</v>
      </c>
    </row>
    <row r="140" spans="1:11" x14ac:dyDescent="0.15">
      <c r="A140" s="60" t="s">
        <v>33</v>
      </c>
      <c r="B140" s="61" t="s">
        <v>436</v>
      </c>
      <c r="C140" s="61">
        <v>29</v>
      </c>
      <c r="D140" s="61">
        <v>5</v>
      </c>
      <c r="E140" s="61">
        <v>24</v>
      </c>
      <c r="F140" s="61">
        <v>5</v>
      </c>
      <c r="G140" s="61">
        <v>0</v>
      </c>
      <c r="H140" s="61">
        <v>0</v>
      </c>
      <c r="I140" s="61">
        <v>2</v>
      </c>
      <c r="J140" s="61">
        <v>22</v>
      </c>
      <c r="K140" s="61">
        <v>0</v>
      </c>
    </row>
    <row r="141" spans="1:11" x14ac:dyDescent="0.15">
      <c r="A141" s="60" t="s">
        <v>437</v>
      </c>
      <c r="B141" s="61" t="s">
        <v>438</v>
      </c>
      <c r="C141" s="61">
        <v>54</v>
      </c>
      <c r="D141" s="61">
        <v>8</v>
      </c>
      <c r="E141" s="61">
        <v>46</v>
      </c>
      <c r="F141" s="61">
        <v>6</v>
      </c>
      <c r="G141" s="61">
        <v>2</v>
      </c>
      <c r="H141" s="61">
        <v>0</v>
      </c>
      <c r="I141" s="61">
        <v>0</v>
      </c>
      <c r="J141" s="61">
        <v>34</v>
      </c>
      <c r="K141" s="61">
        <v>12</v>
      </c>
    </row>
    <row r="142" spans="1:11" x14ac:dyDescent="0.15">
      <c r="A142" s="60" t="s">
        <v>439</v>
      </c>
      <c r="B142" s="61" t="s">
        <v>440</v>
      </c>
      <c r="C142" s="61">
        <v>61</v>
      </c>
      <c r="D142" s="61">
        <v>37</v>
      </c>
      <c r="E142" s="61">
        <v>24</v>
      </c>
      <c r="F142" s="61">
        <v>16</v>
      </c>
      <c r="G142" s="61">
        <v>19</v>
      </c>
      <c r="H142" s="61">
        <v>2</v>
      </c>
      <c r="I142" s="61">
        <v>2</v>
      </c>
      <c r="J142" s="61">
        <v>18</v>
      </c>
      <c r="K142" s="61">
        <v>4</v>
      </c>
    </row>
    <row r="143" spans="1:11" x14ac:dyDescent="0.15">
      <c r="A143" s="60" t="s">
        <v>441</v>
      </c>
      <c r="B143" s="61" t="s">
        <v>442</v>
      </c>
      <c r="C143" s="61">
        <v>8</v>
      </c>
      <c r="D143" s="61">
        <v>8</v>
      </c>
      <c r="E143" s="61">
        <v>0</v>
      </c>
      <c r="F143" s="61">
        <v>8</v>
      </c>
      <c r="G143" s="61">
        <v>0</v>
      </c>
      <c r="H143" s="61">
        <v>0</v>
      </c>
      <c r="I143" s="61">
        <v>0</v>
      </c>
      <c r="J143" s="61">
        <v>0</v>
      </c>
      <c r="K143" s="61">
        <v>0</v>
      </c>
    </row>
    <row r="144" spans="1:11" x14ac:dyDescent="0.15">
      <c r="A144" s="60" t="s">
        <v>443</v>
      </c>
      <c r="B144" s="61" t="s">
        <v>444</v>
      </c>
      <c r="C144" s="61">
        <v>60</v>
      </c>
      <c r="D144" s="61">
        <v>17</v>
      </c>
      <c r="E144" s="61">
        <v>43</v>
      </c>
      <c r="F144" s="61">
        <v>16</v>
      </c>
      <c r="G144" s="61">
        <v>1</v>
      </c>
      <c r="H144" s="61">
        <v>0</v>
      </c>
      <c r="I144" s="61">
        <v>5</v>
      </c>
      <c r="J144" s="61">
        <v>38</v>
      </c>
      <c r="K144" s="61">
        <v>0</v>
      </c>
    </row>
    <row r="145" spans="1:11" x14ac:dyDescent="0.15">
      <c r="A145" s="60" t="s">
        <v>185</v>
      </c>
      <c r="B145" s="61" t="s">
        <v>445</v>
      </c>
      <c r="C145" s="61">
        <v>81</v>
      </c>
      <c r="D145" s="61">
        <v>55</v>
      </c>
      <c r="E145" s="61">
        <v>26</v>
      </c>
      <c r="F145" s="61">
        <v>25</v>
      </c>
      <c r="G145" s="61">
        <v>30</v>
      </c>
      <c r="H145" s="61">
        <v>0</v>
      </c>
      <c r="I145" s="61">
        <v>0</v>
      </c>
      <c r="J145" s="61">
        <v>13</v>
      </c>
      <c r="K145" s="61">
        <v>13</v>
      </c>
    </row>
    <row r="146" spans="1:11" x14ac:dyDescent="0.15">
      <c r="A146" s="60" t="s">
        <v>446</v>
      </c>
      <c r="B146" s="61" t="s">
        <v>447</v>
      </c>
      <c r="C146" s="61">
        <v>6</v>
      </c>
      <c r="D146" s="61">
        <v>6</v>
      </c>
      <c r="E146" s="61">
        <v>0</v>
      </c>
      <c r="F146" s="61">
        <v>6</v>
      </c>
      <c r="G146" s="61">
        <v>0</v>
      </c>
      <c r="H146" s="61">
        <v>0</v>
      </c>
      <c r="I146" s="61">
        <v>0</v>
      </c>
      <c r="J146" s="61">
        <v>0</v>
      </c>
      <c r="K146" s="61">
        <v>0</v>
      </c>
    </row>
    <row r="147" spans="1:11" x14ac:dyDescent="0.15">
      <c r="A147" s="60" t="s">
        <v>145</v>
      </c>
      <c r="B147" s="61" t="s">
        <v>448</v>
      </c>
      <c r="C147" s="61">
        <v>74</v>
      </c>
      <c r="D147" s="61">
        <v>32</v>
      </c>
      <c r="E147" s="61">
        <v>42</v>
      </c>
      <c r="F147" s="61">
        <v>23</v>
      </c>
      <c r="G147" s="61">
        <v>9</v>
      </c>
      <c r="H147" s="61">
        <v>0</v>
      </c>
      <c r="I147" s="61">
        <v>0</v>
      </c>
      <c r="J147" s="61">
        <v>29</v>
      </c>
      <c r="K147" s="61">
        <v>13</v>
      </c>
    </row>
    <row r="148" spans="1:11" x14ac:dyDescent="0.15">
      <c r="A148" s="60" t="s">
        <v>141</v>
      </c>
      <c r="B148" s="61" t="s">
        <v>449</v>
      </c>
      <c r="C148" s="61">
        <v>75</v>
      </c>
      <c r="D148" s="61">
        <v>34</v>
      </c>
      <c r="E148" s="61">
        <v>41</v>
      </c>
      <c r="F148" s="61">
        <v>15</v>
      </c>
      <c r="G148" s="61">
        <v>19</v>
      </c>
      <c r="H148" s="61">
        <v>0</v>
      </c>
      <c r="I148" s="61">
        <v>7</v>
      </c>
      <c r="J148" s="61">
        <v>21</v>
      </c>
      <c r="K148" s="61">
        <v>13</v>
      </c>
    </row>
    <row r="149" spans="1:11" x14ac:dyDescent="0.15">
      <c r="A149" s="60" t="s">
        <v>175</v>
      </c>
      <c r="B149" s="61" t="s">
        <v>450</v>
      </c>
      <c r="C149" s="61">
        <v>61</v>
      </c>
      <c r="D149" s="61">
        <v>60</v>
      </c>
      <c r="E149" s="61">
        <v>1</v>
      </c>
      <c r="F149" s="61">
        <v>8</v>
      </c>
      <c r="G149" s="61">
        <v>41</v>
      </c>
      <c r="H149" s="61">
        <v>11</v>
      </c>
      <c r="I149" s="61">
        <v>1</v>
      </c>
      <c r="J149" s="61">
        <v>0</v>
      </c>
      <c r="K149" s="61">
        <v>0</v>
      </c>
    </row>
    <row r="150" spans="1:11" x14ac:dyDescent="0.15">
      <c r="A150" s="60" t="s">
        <v>34</v>
      </c>
      <c r="B150" s="61" t="s">
        <v>451</v>
      </c>
      <c r="C150" s="61">
        <v>43</v>
      </c>
      <c r="D150" s="61">
        <v>24</v>
      </c>
      <c r="E150" s="61">
        <v>19</v>
      </c>
      <c r="F150" s="61">
        <v>9</v>
      </c>
      <c r="G150" s="61">
        <v>15</v>
      </c>
      <c r="H150" s="61">
        <v>0</v>
      </c>
      <c r="I150" s="61">
        <v>5</v>
      </c>
      <c r="J150" s="61">
        <v>13</v>
      </c>
      <c r="K150" s="61">
        <v>1</v>
      </c>
    </row>
    <row r="151" spans="1:11" x14ac:dyDescent="0.15">
      <c r="A151" s="60" t="s">
        <v>35</v>
      </c>
      <c r="B151" s="61" t="s">
        <v>452</v>
      </c>
      <c r="C151" s="61">
        <v>24</v>
      </c>
      <c r="D151" s="61">
        <v>12</v>
      </c>
      <c r="E151" s="61">
        <v>12</v>
      </c>
      <c r="F151" s="61">
        <v>7</v>
      </c>
      <c r="G151" s="61">
        <v>5</v>
      </c>
      <c r="H151" s="61">
        <v>0</v>
      </c>
      <c r="I151" s="61">
        <v>7</v>
      </c>
      <c r="J151" s="61">
        <v>5</v>
      </c>
      <c r="K151" s="61">
        <v>0</v>
      </c>
    </row>
    <row r="152" spans="1:11" x14ac:dyDescent="0.15">
      <c r="A152" s="60" t="s">
        <v>171</v>
      </c>
      <c r="B152" s="61" t="s">
        <v>453</v>
      </c>
      <c r="C152" s="61">
        <v>56</v>
      </c>
      <c r="D152" s="61">
        <v>21</v>
      </c>
      <c r="E152" s="61">
        <v>35</v>
      </c>
      <c r="F152" s="61">
        <v>14</v>
      </c>
      <c r="G152" s="61">
        <v>7</v>
      </c>
      <c r="H152" s="61">
        <v>0</v>
      </c>
      <c r="I152" s="61">
        <v>0</v>
      </c>
      <c r="J152" s="61">
        <v>31</v>
      </c>
      <c r="K152" s="61">
        <v>4</v>
      </c>
    </row>
    <row r="153" spans="1:11" x14ac:dyDescent="0.15">
      <c r="A153" s="60" t="s">
        <v>454</v>
      </c>
      <c r="B153" s="61" t="s">
        <v>455</v>
      </c>
      <c r="C153" s="61">
        <v>76</v>
      </c>
      <c r="D153" s="61">
        <v>11</v>
      </c>
      <c r="E153" s="61">
        <v>65</v>
      </c>
      <c r="F153" s="61">
        <v>11</v>
      </c>
      <c r="G153" s="61">
        <v>0</v>
      </c>
      <c r="H153" s="61">
        <v>0</v>
      </c>
      <c r="I153" s="61">
        <v>12</v>
      </c>
      <c r="J153" s="61">
        <v>40</v>
      </c>
      <c r="K153" s="61">
        <v>13</v>
      </c>
    </row>
    <row r="154" spans="1:11" x14ac:dyDescent="0.15">
      <c r="A154" s="60" t="s">
        <v>456</v>
      </c>
      <c r="B154" s="61" t="s">
        <v>457</v>
      </c>
      <c r="C154" s="61">
        <v>16</v>
      </c>
      <c r="D154" s="61">
        <v>16</v>
      </c>
      <c r="E154" s="61">
        <v>0</v>
      </c>
      <c r="F154" s="61">
        <v>16</v>
      </c>
      <c r="G154" s="61">
        <v>0</v>
      </c>
      <c r="H154" s="61">
        <v>0</v>
      </c>
      <c r="I154" s="61">
        <v>0</v>
      </c>
      <c r="J154" s="61">
        <v>0</v>
      </c>
      <c r="K154" s="61">
        <v>0</v>
      </c>
    </row>
    <row r="155" spans="1:11" x14ac:dyDescent="0.15">
      <c r="A155" s="60" t="s">
        <v>155</v>
      </c>
      <c r="B155" s="61" t="s">
        <v>458</v>
      </c>
      <c r="C155" s="61">
        <v>36</v>
      </c>
      <c r="D155" s="61">
        <v>22</v>
      </c>
      <c r="E155" s="61">
        <v>14</v>
      </c>
      <c r="F155" s="61">
        <v>13</v>
      </c>
      <c r="G155" s="61">
        <v>9</v>
      </c>
      <c r="H155" s="61">
        <v>0</v>
      </c>
      <c r="I155" s="61">
        <v>0</v>
      </c>
      <c r="J155" s="61">
        <v>10</v>
      </c>
      <c r="K155" s="61">
        <v>4</v>
      </c>
    </row>
    <row r="156" spans="1:11" x14ac:dyDescent="0.15">
      <c r="A156" s="60" t="s">
        <v>459</v>
      </c>
      <c r="B156" s="61" t="s">
        <v>460</v>
      </c>
      <c r="C156" s="61">
        <v>13</v>
      </c>
      <c r="D156" s="61">
        <v>0</v>
      </c>
      <c r="E156" s="61">
        <v>13</v>
      </c>
      <c r="F156" s="61">
        <v>0</v>
      </c>
      <c r="G156" s="61">
        <v>0</v>
      </c>
      <c r="H156" s="61">
        <v>0</v>
      </c>
      <c r="I156" s="61">
        <v>13</v>
      </c>
      <c r="J156" s="61">
        <v>0</v>
      </c>
      <c r="K156" s="61">
        <v>0</v>
      </c>
    </row>
    <row r="157" spans="1:11" x14ac:dyDescent="0.15">
      <c r="A157" s="60" t="s">
        <v>461</v>
      </c>
      <c r="B157" s="61" t="s">
        <v>462</v>
      </c>
      <c r="C157" s="61">
        <v>51</v>
      </c>
      <c r="D157" s="61">
        <v>32</v>
      </c>
      <c r="E157" s="61">
        <v>19</v>
      </c>
      <c r="F157" s="61">
        <v>22</v>
      </c>
      <c r="G157" s="61">
        <v>10</v>
      </c>
      <c r="H157" s="61">
        <v>0</v>
      </c>
      <c r="I157" s="61">
        <v>0</v>
      </c>
      <c r="J157" s="61">
        <v>19</v>
      </c>
      <c r="K157" s="61">
        <v>0</v>
      </c>
    </row>
    <row r="158" spans="1:11" x14ac:dyDescent="0.15">
      <c r="A158" s="60" t="s">
        <v>463</v>
      </c>
      <c r="B158" s="61" t="s">
        <v>464</v>
      </c>
      <c r="C158" s="61">
        <v>30</v>
      </c>
      <c r="D158" s="61">
        <v>17</v>
      </c>
      <c r="E158" s="61">
        <v>13</v>
      </c>
      <c r="F158" s="61">
        <v>11</v>
      </c>
      <c r="G158" s="61">
        <v>6</v>
      </c>
      <c r="H158" s="61">
        <v>0</v>
      </c>
      <c r="I158" s="61">
        <v>0</v>
      </c>
      <c r="J158" s="61">
        <v>0</v>
      </c>
      <c r="K158" s="61">
        <v>13</v>
      </c>
    </row>
    <row r="159" spans="1:11" x14ac:dyDescent="0.15">
      <c r="A159" s="60" t="s">
        <v>465</v>
      </c>
      <c r="B159" s="61" t="s">
        <v>466</v>
      </c>
      <c r="C159" s="61">
        <v>65</v>
      </c>
      <c r="D159" s="61">
        <v>39</v>
      </c>
      <c r="E159" s="61">
        <v>26</v>
      </c>
      <c r="F159" s="61">
        <v>11</v>
      </c>
      <c r="G159" s="61">
        <v>21</v>
      </c>
      <c r="H159" s="61">
        <v>7</v>
      </c>
      <c r="I159" s="61">
        <v>4</v>
      </c>
      <c r="J159" s="61">
        <v>19</v>
      </c>
      <c r="K159" s="61">
        <v>3</v>
      </c>
    </row>
    <row r="160" spans="1:11" x14ac:dyDescent="0.15">
      <c r="A160" s="60" t="s">
        <v>467</v>
      </c>
      <c r="B160" s="61" t="s">
        <v>468</v>
      </c>
      <c r="C160" s="61">
        <v>52</v>
      </c>
      <c r="D160" s="61">
        <v>26</v>
      </c>
      <c r="E160" s="61">
        <v>26</v>
      </c>
      <c r="F160" s="61">
        <v>6</v>
      </c>
      <c r="G160" s="61">
        <v>16</v>
      </c>
      <c r="H160" s="61">
        <v>4</v>
      </c>
      <c r="I160" s="61">
        <v>10</v>
      </c>
      <c r="J160" s="61">
        <v>12</v>
      </c>
      <c r="K160" s="61">
        <v>4</v>
      </c>
    </row>
    <row r="161" spans="1:11" x14ac:dyDescent="0.15">
      <c r="A161" s="60" t="s">
        <v>469</v>
      </c>
      <c r="B161" s="61" t="s">
        <v>470</v>
      </c>
      <c r="C161" s="61">
        <v>4</v>
      </c>
      <c r="D161" s="61">
        <v>4</v>
      </c>
      <c r="E161" s="61">
        <v>0</v>
      </c>
      <c r="F161" s="61">
        <v>4</v>
      </c>
      <c r="G161" s="61">
        <v>0</v>
      </c>
      <c r="H161" s="61">
        <v>0</v>
      </c>
      <c r="I161" s="61">
        <v>0</v>
      </c>
      <c r="J161" s="61">
        <v>0</v>
      </c>
      <c r="K161" s="61">
        <v>0</v>
      </c>
    </row>
    <row r="162" spans="1:11" x14ac:dyDescent="0.15">
      <c r="A162" s="60" t="s">
        <v>471</v>
      </c>
      <c r="B162" s="61" t="s">
        <v>472</v>
      </c>
      <c r="C162" s="61">
        <v>36</v>
      </c>
      <c r="D162" s="61">
        <v>15</v>
      </c>
      <c r="E162" s="61">
        <v>21</v>
      </c>
      <c r="F162" s="61">
        <v>15</v>
      </c>
      <c r="G162" s="61">
        <v>0</v>
      </c>
      <c r="H162" s="61">
        <v>0</v>
      </c>
      <c r="I162" s="61">
        <v>0</v>
      </c>
      <c r="J162" s="61">
        <v>21</v>
      </c>
      <c r="K162" s="61">
        <v>0</v>
      </c>
    </row>
    <row r="163" spans="1:11" x14ac:dyDescent="0.15">
      <c r="A163" s="60" t="s">
        <v>473</v>
      </c>
      <c r="B163" s="61" t="s">
        <v>474</v>
      </c>
      <c r="C163" s="61">
        <v>21</v>
      </c>
      <c r="D163" s="61">
        <v>13</v>
      </c>
      <c r="E163" s="61">
        <v>8</v>
      </c>
      <c r="F163" s="61">
        <v>9</v>
      </c>
      <c r="G163" s="61">
        <v>2</v>
      </c>
      <c r="H163" s="61">
        <v>2</v>
      </c>
      <c r="I163" s="61">
        <v>0</v>
      </c>
      <c r="J163" s="61">
        <v>8</v>
      </c>
      <c r="K163" s="61">
        <v>0</v>
      </c>
    </row>
    <row r="164" spans="1:11" x14ac:dyDescent="0.15">
      <c r="A164" s="60" t="s">
        <v>157</v>
      </c>
      <c r="B164" s="61" t="s">
        <v>475</v>
      </c>
      <c r="C164" s="61">
        <v>63</v>
      </c>
      <c r="D164" s="61">
        <v>50</v>
      </c>
      <c r="E164" s="61">
        <v>13</v>
      </c>
      <c r="F164" s="61">
        <v>13</v>
      </c>
      <c r="G164" s="61">
        <v>37</v>
      </c>
      <c r="H164" s="61">
        <v>0</v>
      </c>
      <c r="I164" s="61">
        <v>0</v>
      </c>
      <c r="J164" s="61">
        <v>0</v>
      </c>
      <c r="K164" s="61">
        <v>13</v>
      </c>
    </row>
    <row r="165" spans="1:11" x14ac:dyDescent="0.15">
      <c r="A165" s="60" t="s">
        <v>476</v>
      </c>
      <c r="B165" s="61" t="s">
        <v>477</v>
      </c>
      <c r="C165" s="61">
        <v>22</v>
      </c>
      <c r="D165" s="61">
        <v>12</v>
      </c>
      <c r="E165" s="61">
        <v>10</v>
      </c>
      <c r="F165" s="61">
        <v>12</v>
      </c>
      <c r="G165" s="61">
        <v>0</v>
      </c>
      <c r="H165" s="61">
        <v>0</v>
      </c>
      <c r="I165" s="61">
        <v>9</v>
      </c>
      <c r="J165" s="61">
        <v>0</v>
      </c>
      <c r="K165" s="61">
        <v>1</v>
      </c>
    </row>
    <row r="166" spans="1:11" x14ac:dyDescent="0.15">
      <c r="A166" s="60" t="s">
        <v>147</v>
      </c>
      <c r="B166" s="61" t="s">
        <v>478</v>
      </c>
      <c r="C166" s="61">
        <v>42</v>
      </c>
      <c r="D166" s="61">
        <v>28</v>
      </c>
      <c r="E166" s="61">
        <v>14</v>
      </c>
      <c r="F166" s="61">
        <v>15</v>
      </c>
      <c r="G166" s="61">
        <v>12</v>
      </c>
      <c r="H166" s="61">
        <v>1</v>
      </c>
      <c r="I166" s="61">
        <v>0</v>
      </c>
      <c r="J166" s="61">
        <v>9</v>
      </c>
      <c r="K166" s="61">
        <v>5</v>
      </c>
    </row>
    <row r="167" spans="1:11" x14ac:dyDescent="0.15">
      <c r="A167" s="60" t="s">
        <v>479</v>
      </c>
      <c r="B167" s="61" t="s">
        <v>480</v>
      </c>
      <c r="C167" s="61">
        <v>46</v>
      </c>
      <c r="D167" s="61">
        <v>13</v>
      </c>
      <c r="E167" s="61">
        <v>33</v>
      </c>
      <c r="F167" s="61">
        <v>0</v>
      </c>
      <c r="G167" s="61">
        <v>13</v>
      </c>
      <c r="H167" s="61">
        <v>0</v>
      </c>
      <c r="I167" s="61">
        <v>9</v>
      </c>
      <c r="J167" s="61">
        <v>13</v>
      </c>
      <c r="K167" s="61">
        <v>11</v>
      </c>
    </row>
    <row r="168" spans="1:11" x14ac:dyDescent="0.15">
      <c r="A168" s="60" t="s">
        <v>481</v>
      </c>
      <c r="B168" s="61" t="s">
        <v>482</v>
      </c>
      <c r="C168" s="61">
        <v>14</v>
      </c>
      <c r="D168" s="61">
        <v>11</v>
      </c>
      <c r="E168" s="61">
        <v>3</v>
      </c>
      <c r="F168" s="61">
        <v>11</v>
      </c>
      <c r="G168" s="61">
        <v>0</v>
      </c>
      <c r="H168" s="61">
        <v>0</v>
      </c>
      <c r="I168" s="61">
        <v>0</v>
      </c>
      <c r="J168" s="61">
        <v>3</v>
      </c>
      <c r="K168" s="61">
        <v>0</v>
      </c>
    </row>
    <row r="169" spans="1:11" x14ac:dyDescent="0.15">
      <c r="A169" s="60" t="s">
        <v>144</v>
      </c>
      <c r="B169" s="61" t="s">
        <v>483</v>
      </c>
      <c r="C169" s="61">
        <v>16</v>
      </c>
      <c r="D169" s="61">
        <v>4</v>
      </c>
      <c r="E169" s="61">
        <v>12</v>
      </c>
      <c r="F169" s="61">
        <v>4</v>
      </c>
      <c r="G169" s="61">
        <v>0</v>
      </c>
      <c r="H169" s="61">
        <v>0</v>
      </c>
      <c r="I169" s="61">
        <v>4</v>
      </c>
      <c r="J169" s="61">
        <v>6</v>
      </c>
      <c r="K169" s="61">
        <v>2</v>
      </c>
    </row>
    <row r="170" spans="1:11" x14ac:dyDescent="0.15">
      <c r="A170" s="60" t="s">
        <v>484</v>
      </c>
      <c r="B170" s="61" t="s">
        <v>485</v>
      </c>
      <c r="C170" s="61">
        <v>28</v>
      </c>
      <c r="D170" s="61">
        <v>18</v>
      </c>
      <c r="E170" s="61">
        <v>10</v>
      </c>
      <c r="F170" s="61">
        <v>11</v>
      </c>
      <c r="G170" s="61">
        <v>7</v>
      </c>
      <c r="H170" s="61">
        <v>0</v>
      </c>
      <c r="I170" s="61">
        <v>6</v>
      </c>
      <c r="J170" s="61">
        <v>4</v>
      </c>
      <c r="K170" s="61">
        <v>0</v>
      </c>
    </row>
    <row r="171" spans="1:11" x14ac:dyDescent="0.15">
      <c r="A171" s="60" t="s">
        <v>36</v>
      </c>
      <c r="B171" s="61" t="s">
        <v>486</v>
      </c>
      <c r="C171" s="61">
        <v>38</v>
      </c>
      <c r="D171" s="61">
        <v>10</v>
      </c>
      <c r="E171" s="61">
        <v>28</v>
      </c>
      <c r="F171" s="61">
        <v>10</v>
      </c>
      <c r="G171" s="61">
        <v>0</v>
      </c>
      <c r="H171" s="61">
        <v>0</v>
      </c>
      <c r="I171" s="61">
        <v>0</v>
      </c>
      <c r="J171" s="61">
        <v>28</v>
      </c>
      <c r="K171" s="61">
        <v>0</v>
      </c>
    </row>
    <row r="172" spans="1:11" x14ac:dyDescent="0.15">
      <c r="A172" s="60" t="s">
        <v>37</v>
      </c>
      <c r="B172" s="61" t="s">
        <v>487</v>
      </c>
      <c r="C172" s="61">
        <v>47</v>
      </c>
      <c r="D172" s="61">
        <v>21</v>
      </c>
      <c r="E172" s="61">
        <v>26</v>
      </c>
      <c r="F172" s="61">
        <v>8</v>
      </c>
      <c r="G172" s="61">
        <v>13</v>
      </c>
      <c r="H172" s="61">
        <v>0</v>
      </c>
      <c r="I172" s="61">
        <v>5</v>
      </c>
      <c r="J172" s="61">
        <v>21</v>
      </c>
      <c r="K172" s="61">
        <v>0</v>
      </c>
    </row>
    <row r="173" spans="1:11" x14ac:dyDescent="0.15">
      <c r="A173" s="60" t="s">
        <v>488</v>
      </c>
      <c r="B173" s="61" t="s">
        <v>489</v>
      </c>
      <c r="C173" s="61">
        <v>7</v>
      </c>
      <c r="D173" s="61">
        <v>4</v>
      </c>
      <c r="E173" s="61">
        <v>3</v>
      </c>
      <c r="F173" s="61">
        <v>4</v>
      </c>
      <c r="G173" s="61">
        <v>0</v>
      </c>
      <c r="H173" s="61">
        <v>0</v>
      </c>
      <c r="I173" s="61">
        <v>3</v>
      </c>
      <c r="J173" s="61">
        <v>0</v>
      </c>
      <c r="K173" s="61">
        <v>0</v>
      </c>
    </row>
    <row r="174" spans="1:11" x14ac:dyDescent="0.15">
      <c r="A174" s="60" t="s">
        <v>490</v>
      </c>
      <c r="B174" s="61" t="s">
        <v>491</v>
      </c>
      <c r="C174" s="61">
        <v>19</v>
      </c>
      <c r="D174" s="61">
        <v>19</v>
      </c>
      <c r="E174" s="61">
        <v>0</v>
      </c>
      <c r="F174" s="61">
        <v>15</v>
      </c>
      <c r="G174" s="61">
        <v>4</v>
      </c>
      <c r="H174" s="61">
        <v>0</v>
      </c>
      <c r="I174" s="61">
        <v>0</v>
      </c>
      <c r="J174" s="61">
        <v>0</v>
      </c>
      <c r="K174" s="61">
        <v>0</v>
      </c>
    </row>
    <row r="175" spans="1:11" x14ac:dyDescent="0.15">
      <c r="A175" s="60" t="s">
        <v>492</v>
      </c>
      <c r="B175" s="61" t="s">
        <v>493</v>
      </c>
      <c r="C175" s="61">
        <v>60</v>
      </c>
      <c r="D175" s="61">
        <v>15</v>
      </c>
      <c r="E175" s="61">
        <v>45</v>
      </c>
      <c r="F175" s="61">
        <v>11</v>
      </c>
      <c r="G175" s="61">
        <v>4</v>
      </c>
      <c r="H175" s="61">
        <v>0</v>
      </c>
      <c r="I175" s="61">
        <v>8</v>
      </c>
      <c r="J175" s="61">
        <v>25</v>
      </c>
      <c r="K175" s="61">
        <v>12</v>
      </c>
    </row>
    <row r="176" spans="1:11" x14ac:dyDescent="0.15">
      <c r="A176" s="60" t="s">
        <v>494</v>
      </c>
      <c r="B176" s="61" t="s">
        <v>495</v>
      </c>
      <c r="C176" s="61">
        <v>54</v>
      </c>
      <c r="D176" s="61">
        <v>33</v>
      </c>
      <c r="E176" s="61">
        <v>21</v>
      </c>
      <c r="F176" s="61">
        <v>24</v>
      </c>
      <c r="G176" s="61">
        <v>9</v>
      </c>
      <c r="H176" s="61">
        <v>0</v>
      </c>
      <c r="I176" s="61">
        <v>0</v>
      </c>
      <c r="J176" s="61">
        <v>21</v>
      </c>
      <c r="K176" s="61">
        <v>0</v>
      </c>
    </row>
    <row r="177" spans="1:11" x14ac:dyDescent="0.15">
      <c r="A177" s="60" t="s">
        <v>38</v>
      </c>
      <c r="B177" s="61" t="s">
        <v>496</v>
      </c>
      <c r="C177" s="61">
        <v>15</v>
      </c>
      <c r="D177" s="61">
        <v>10</v>
      </c>
      <c r="E177" s="61">
        <v>5</v>
      </c>
      <c r="F177" s="61">
        <v>10</v>
      </c>
      <c r="G177" s="61">
        <v>0</v>
      </c>
      <c r="H177" s="61">
        <v>0</v>
      </c>
      <c r="I177" s="61">
        <v>5</v>
      </c>
      <c r="J177" s="61">
        <v>0</v>
      </c>
      <c r="K177" s="61">
        <v>0</v>
      </c>
    </row>
    <row r="178" spans="1:11" x14ac:dyDescent="0.15">
      <c r="A178" s="60" t="s">
        <v>497</v>
      </c>
      <c r="B178" s="61" t="s">
        <v>498</v>
      </c>
      <c r="C178" s="61">
        <v>71</v>
      </c>
      <c r="D178" s="61">
        <v>49</v>
      </c>
      <c r="E178" s="61">
        <v>22</v>
      </c>
      <c r="F178" s="61">
        <v>21</v>
      </c>
      <c r="G178" s="61">
        <v>20</v>
      </c>
      <c r="H178" s="61">
        <v>8</v>
      </c>
      <c r="I178" s="61">
        <v>0</v>
      </c>
      <c r="J178" s="61">
        <v>17</v>
      </c>
      <c r="K178" s="61">
        <v>5</v>
      </c>
    </row>
    <row r="179" spans="1:11" x14ac:dyDescent="0.15">
      <c r="A179" s="60" t="s">
        <v>499</v>
      </c>
      <c r="B179" s="61" t="s">
        <v>500</v>
      </c>
      <c r="C179" s="61">
        <v>23</v>
      </c>
      <c r="D179" s="61">
        <v>16</v>
      </c>
      <c r="E179" s="61">
        <v>7</v>
      </c>
      <c r="F179" s="61">
        <v>7</v>
      </c>
      <c r="G179" s="61">
        <v>9</v>
      </c>
      <c r="H179" s="61">
        <v>0</v>
      </c>
      <c r="I179" s="61">
        <v>0</v>
      </c>
      <c r="J179" s="61">
        <v>7</v>
      </c>
      <c r="K179" s="61">
        <v>0</v>
      </c>
    </row>
    <row r="180" spans="1:11" x14ac:dyDescent="0.15">
      <c r="A180" s="60" t="s">
        <v>501</v>
      </c>
      <c r="B180" s="61" t="s">
        <v>502</v>
      </c>
      <c r="C180" s="61">
        <v>57</v>
      </c>
      <c r="D180" s="61">
        <v>36</v>
      </c>
      <c r="E180" s="61">
        <v>21</v>
      </c>
      <c r="F180" s="61">
        <v>20</v>
      </c>
      <c r="G180" s="61">
        <v>16</v>
      </c>
      <c r="H180" s="61">
        <v>0</v>
      </c>
      <c r="I180" s="61">
        <v>0</v>
      </c>
      <c r="J180" s="61">
        <v>8</v>
      </c>
      <c r="K180" s="61">
        <v>13</v>
      </c>
    </row>
    <row r="181" spans="1:11" x14ac:dyDescent="0.15">
      <c r="A181" s="60" t="s">
        <v>503</v>
      </c>
      <c r="B181" s="61" t="s">
        <v>504</v>
      </c>
      <c r="C181" s="61">
        <v>29</v>
      </c>
      <c r="D181" s="61">
        <v>5</v>
      </c>
      <c r="E181" s="61">
        <v>24</v>
      </c>
      <c r="F181" s="61">
        <v>5</v>
      </c>
      <c r="G181" s="61">
        <v>0</v>
      </c>
      <c r="H181" s="61">
        <v>0</v>
      </c>
      <c r="I181" s="61">
        <v>2</v>
      </c>
      <c r="J181" s="61">
        <v>22</v>
      </c>
      <c r="K181" s="61">
        <v>0</v>
      </c>
    </row>
    <row r="182" spans="1:11" x14ac:dyDescent="0.15">
      <c r="A182" s="60" t="s">
        <v>39</v>
      </c>
      <c r="B182" s="61" t="s">
        <v>505</v>
      </c>
      <c r="C182" s="61">
        <v>24</v>
      </c>
      <c r="D182" s="61">
        <v>0</v>
      </c>
      <c r="E182" s="61">
        <v>24</v>
      </c>
      <c r="F182" s="61">
        <v>0</v>
      </c>
      <c r="G182" s="61">
        <v>0</v>
      </c>
      <c r="H182" s="61">
        <v>0</v>
      </c>
      <c r="I182" s="61">
        <v>10</v>
      </c>
      <c r="J182" s="61">
        <v>14</v>
      </c>
      <c r="K182" s="61">
        <v>0</v>
      </c>
    </row>
    <row r="183" spans="1:11" x14ac:dyDescent="0.15">
      <c r="A183" s="60" t="s">
        <v>40</v>
      </c>
      <c r="B183" s="61" t="s">
        <v>506</v>
      </c>
      <c r="C183" s="61">
        <v>6</v>
      </c>
      <c r="D183" s="61">
        <v>6</v>
      </c>
      <c r="E183" s="61">
        <v>0</v>
      </c>
      <c r="F183" s="61">
        <v>6</v>
      </c>
      <c r="G183" s="61">
        <v>0</v>
      </c>
      <c r="H183" s="61">
        <v>0</v>
      </c>
      <c r="I183" s="61">
        <v>0</v>
      </c>
      <c r="J183" s="61">
        <v>0</v>
      </c>
      <c r="K183" s="61">
        <v>0</v>
      </c>
    </row>
    <row r="184" spans="1:11" x14ac:dyDescent="0.15">
      <c r="A184" s="60" t="s">
        <v>507</v>
      </c>
      <c r="B184" s="61" t="s">
        <v>508</v>
      </c>
      <c r="C184" s="61">
        <v>29</v>
      </c>
      <c r="D184" s="61">
        <v>11</v>
      </c>
      <c r="E184" s="61">
        <v>18</v>
      </c>
      <c r="F184" s="61">
        <v>11</v>
      </c>
      <c r="G184" s="61">
        <v>0</v>
      </c>
      <c r="H184" s="61">
        <v>0</v>
      </c>
      <c r="I184" s="61">
        <v>0</v>
      </c>
      <c r="J184" s="61">
        <v>18</v>
      </c>
      <c r="K184" s="61">
        <v>0</v>
      </c>
    </row>
    <row r="185" spans="1:11" x14ac:dyDescent="0.15">
      <c r="A185" s="60" t="s">
        <v>509</v>
      </c>
      <c r="B185" s="61" t="s">
        <v>510</v>
      </c>
      <c r="C185" s="61">
        <v>0</v>
      </c>
      <c r="D185" s="61">
        <v>0</v>
      </c>
      <c r="E185" s="61">
        <v>0</v>
      </c>
      <c r="F185" s="61">
        <v>0</v>
      </c>
      <c r="G185" s="61">
        <v>0</v>
      </c>
      <c r="H185" s="61">
        <v>0</v>
      </c>
      <c r="I185" s="61">
        <v>0</v>
      </c>
      <c r="J185" s="61">
        <v>0</v>
      </c>
      <c r="K185" s="61">
        <v>0</v>
      </c>
    </row>
    <row r="186" spans="1:11" x14ac:dyDescent="0.15">
      <c r="A186" s="60" t="s">
        <v>167</v>
      </c>
      <c r="B186" s="61" t="s">
        <v>511</v>
      </c>
      <c r="C186" s="61">
        <v>52</v>
      </c>
      <c r="D186" s="61">
        <v>16</v>
      </c>
      <c r="E186" s="61">
        <v>36</v>
      </c>
      <c r="F186" s="61">
        <v>13</v>
      </c>
      <c r="G186" s="61">
        <v>3</v>
      </c>
      <c r="H186" s="61">
        <v>0</v>
      </c>
      <c r="I186" s="61">
        <v>0</v>
      </c>
      <c r="J186" s="61">
        <v>25</v>
      </c>
      <c r="K186" s="61">
        <v>11</v>
      </c>
    </row>
    <row r="187" spans="1:11" x14ac:dyDescent="0.15">
      <c r="A187" s="60" t="s">
        <v>512</v>
      </c>
      <c r="B187" s="61" t="s">
        <v>513</v>
      </c>
      <c r="C187" s="61">
        <v>40</v>
      </c>
      <c r="D187" s="61">
        <v>11</v>
      </c>
      <c r="E187" s="61">
        <v>29</v>
      </c>
      <c r="F187" s="61">
        <v>11</v>
      </c>
      <c r="G187" s="61">
        <v>0</v>
      </c>
      <c r="H187" s="61">
        <v>0</v>
      </c>
      <c r="I187" s="61">
        <v>5</v>
      </c>
      <c r="J187" s="61">
        <v>21</v>
      </c>
      <c r="K187" s="61">
        <v>3</v>
      </c>
    </row>
    <row r="188" spans="1:11" x14ac:dyDescent="0.15">
      <c r="A188" s="60" t="s">
        <v>514</v>
      </c>
      <c r="B188" s="61" t="s">
        <v>515</v>
      </c>
      <c r="C188" s="61">
        <v>14</v>
      </c>
      <c r="D188" s="61">
        <v>11</v>
      </c>
      <c r="E188" s="61">
        <v>3</v>
      </c>
      <c r="F188" s="61">
        <v>10</v>
      </c>
      <c r="G188" s="61">
        <v>1</v>
      </c>
      <c r="H188" s="61">
        <v>0</v>
      </c>
      <c r="I188" s="61">
        <v>3</v>
      </c>
      <c r="J188" s="61">
        <v>0</v>
      </c>
      <c r="K188" s="61">
        <v>0</v>
      </c>
    </row>
    <row r="189" spans="1:11" x14ac:dyDescent="0.15">
      <c r="A189" s="60" t="s">
        <v>516</v>
      </c>
      <c r="B189" s="61" t="s">
        <v>517</v>
      </c>
      <c r="C189" s="61">
        <v>4</v>
      </c>
      <c r="D189" s="61">
        <v>0</v>
      </c>
      <c r="E189" s="61">
        <v>4</v>
      </c>
      <c r="F189" s="61">
        <v>0</v>
      </c>
      <c r="G189" s="61">
        <v>0</v>
      </c>
      <c r="H189" s="61">
        <v>0</v>
      </c>
      <c r="I189" s="61">
        <v>4</v>
      </c>
      <c r="J189" s="61">
        <v>0</v>
      </c>
      <c r="K189" s="61">
        <v>0</v>
      </c>
    </row>
    <row r="190" spans="1:11" x14ac:dyDescent="0.15">
      <c r="A190" s="60" t="s">
        <v>518</v>
      </c>
      <c r="B190" s="61" t="s">
        <v>519</v>
      </c>
      <c r="C190" s="61">
        <v>3</v>
      </c>
      <c r="D190" s="61">
        <v>3</v>
      </c>
      <c r="E190" s="61">
        <v>0</v>
      </c>
      <c r="F190" s="61">
        <v>3</v>
      </c>
      <c r="G190" s="61">
        <v>0</v>
      </c>
      <c r="H190" s="61">
        <v>0</v>
      </c>
      <c r="I190" s="61">
        <v>0</v>
      </c>
      <c r="J190" s="61">
        <v>0</v>
      </c>
      <c r="K190" s="61">
        <v>0</v>
      </c>
    </row>
    <row r="191" spans="1:11" x14ac:dyDescent="0.15">
      <c r="A191" s="60" t="s">
        <v>520</v>
      </c>
      <c r="B191" s="61" t="s">
        <v>521</v>
      </c>
      <c r="C191" s="61">
        <v>66</v>
      </c>
      <c r="D191" s="61">
        <v>26</v>
      </c>
      <c r="E191" s="61">
        <v>40</v>
      </c>
      <c r="F191" s="61">
        <v>13</v>
      </c>
      <c r="G191" s="61">
        <v>5</v>
      </c>
      <c r="H191" s="61">
        <v>8</v>
      </c>
      <c r="I191" s="61">
        <v>0</v>
      </c>
      <c r="J191" s="61">
        <v>35</v>
      </c>
      <c r="K191" s="61">
        <v>5</v>
      </c>
    </row>
    <row r="192" spans="1:11" x14ac:dyDescent="0.15">
      <c r="A192" s="60" t="s">
        <v>522</v>
      </c>
      <c r="B192" s="61" t="s">
        <v>523</v>
      </c>
      <c r="C192" s="61">
        <v>32</v>
      </c>
      <c r="D192" s="61">
        <v>17</v>
      </c>
      <c r="E192" s="61">
        <v>15</v>
      </c>
      <c r="F192" s="61">
        <v>13</v>
      </c>
      <c r="G192" s="61">
        <v>4</v>
      </c>
      <c r="H192" s="61">
        <v>0</v>
      </c>
      <c r="I192" s="61">
        <v>0</v>
      </c>
      <c r="J192" s="61">
        <v>15</v>
      </c>
      <c r="K192" s="61">
        <v>0</v>
      </c>
    </row>
    <row r="193" spans="1:11" x14ac:dyDescent="0.15">
      <c r="A193" s="60" t="s">
        <v>41</v>
      </c>
      <c r="B193" s="61" t="s">
        <v>524</v>
      </c>
      <c r="C193" s="61">
        <v>49</v>
      </c>
      <c r="D193" s="61">
        <v>28</v>
      </c>
      <c r="E193" s="61">
        <v>21</v>
      </c>
      <c r="F193" s="61">
        <v>13</v>
      </c>
      <c r="G193" s="61">
        <v>15</v>
      </c>
      <c r="H193" s="61">
        <v>0</v>
      </c>
      <c r="I193" s="61">
        <v>0</v>
      </c>
      <c r="J193" s="61">
        <v>21</v>
      </c>
      <c r="K193" s="61">
        <v>0</v>
      </c>
    </row>
    <row r="194" spans="1:11" x14ac:dyDescent="0.15">
      <c r="A194" s="60" t="s">
        <v>525</v>
      </c>
      <c r="B194" s="61" t="s">
        <v>526</v>
      </c>
      <c r="C194" s="61">
        <v>4</v>
      </c>
      <c r="D194" s="61">
        <v>0</v>
      </c>
      <c r="E194" s="61">
        <v>4</v>
      </c>
      <c r="F194" s="61">
        <v>0</v>
      </c>
      <c r="G194" s="61">
        <v>0</v>
      </c>
      <c r="H194" s="61">
        <v>0</v>
      </c>
      <c r="I194" s="61">
        <v>0</v>
      </c>
      <c r="J194" s="61">
        <v>0</v>
      </c>
      <c r="K194" s="61">
        <v>4</v>
      </c>
    </row>
    <row r="195" spans="1:11" x14ac:dyDescent="0.15">
      <c r="A195" s="60" t="s">
        <v>527</v>
      </c>
      <c r="B195" s="61" t="s">
        <v>528</v>
      </c>
      <c r="C195" s="61">
        <v>40</v>
      </c>
      <c r="D195" s="61">
        <v>29</v>
      </c>
      <c r="E195" s="61">
        <v>11</v>
      </c>
      <c r="F195" s="61">
        <v>14</v>
      </c>
      <c r="G195" s="61">
        <v>15</v>
      </c>
      <c r="H195" s="61">
        <v>0</v>
      </c>
      <c r="I195" s="61">
        <v>0</v>
      </c>
      <c r="J195" s="61">
        <v>11</v>
      </c>
      <c r="K195" s="61">
        <v>0</v>
      </c>
    </row>
    <row r="196" spans="1:11" x14ac:dyDescent="0.15">
      <c r="A196" s="60" t="s">
        <v>529</v>
      </c>
      <c r="B196" s="61" t="s">
        <v>530</v>
      </c>
      <c r="C196" s="61">
        <v>12</v>
      </c>
      <c r="D196" s="61">
        <v>5</v>
      </c>
      <c r="E196" s="61">
        <v>7</v>
      </c>
      <c r="F196" s="61">
        <v>5</v>
      </c>
      <c r="G196" s="61">
        <v>0</v>
      </c>
      <c r="H196" s="61">
        <v>0</v>
      </c>
      <c r="I196" s="61">
        <v>7</v>
      </c>
      <c r="J196" s="61">
        <v>0</v>
      </c>
      <c r="K196" s="61">
        <v>0</v>
      </c>
    </row>
    <row r="197" spans="1:11" x14ac:dyDescent="0.15">
      <c r="A197" s="60" t="s">
        <v>531</v>
      </c>
      <c r="B197" s="61" t="s">
        <v>532</v>
      </c>
      <c r="C197" s="61">
        <v>83</v>
      </c>
      <c r="D197" s="61">
        <v>60</v>
      </c>
      <c r="E197" s="61">
        <v>23</v>
      </c>
      <c r="F197" s="61">
        <v>24</v>
      </c>
      <c r="G197" s="61">
        <v>26</v>
      </c>
      <c r="H197" s="61">
        <v>10</v>
      </c>
      <c r="I197" s="61">
        <v>0</v>
      </c>
      <c r="J197" s="61">
        <v>23</v>
      </c>
      <c r="K197" s="61">
        <v>0</v>
      </c>
    </row>
    <row r="198" spans="1:11" x14ac:dyDescent="0.15">
      <c r="A198" s="60" t="s">
        <v>533</v>
      </c>
      <c r="B198" s="61" t="s">
        <v>534</v>
      </c>
      <c r="C198" s="61">
        <v>36</v>
      </c>
      <c r="D198" s="61">
        <v>18</v>
      </c>
      <c r="E198" s="61">
        <v>18</v>
      </c>
      <c r="F198" s="61">
        <v>16</v>
      </c>
      <c r="G198" s="61">
        <v>2</v>
      </c>
      <c r="H198" s="61">
        <v>0</v>
      </c>
      <c r="I198" s="61">
        <v>1</v>
      </c>
      <c r="J198" s="61">
        <v>8</v>
      </c>
      <c r="K198" s="61">
        <v>9</v>
      </c>
    </row>
    <row r="199" spans="1:11" x14ac:dyDescent="0.15">
      <c r="A199" s="60" t="s">
        <v>170</v>
      </c>
      <c r="B199" s="61" t="s">
        <v>535</v>
      </c>
      <c r="C199" s="61">
        <v>62</v>
      </c>
      <c r="D199" s="61">
        <v>15</v>
      </c>
      <c r="E199" s="61">
        <v>47</v>
      </c>
      <c r="F199" s="61">
        <v>15</v>
      </c>
      <c r="G199" s="61">
        <v>0</v>
      </c>
      <c r="H199" s="61">
        <v>0</v>
      </c>
      <c r="I199" s="61">
        <v>0</v>
      </c>
      <c r="J199" s="61">
        <v>42</v>
      </c>
      <c r="K199" s="61">
        <v>5</v>
      </c>
    </row>
    <row r="200" spans="1:11" x14ac:dyDescent="0.15">
      <c r="A200" s="60" t="s">
        <v>42</v>
      </c>
      <c r="B200" s="61" t="s">
        <v>536</v>
      </c>
      <c r="C200" s="61">
        <v>27</v>
      </c>
      <c r="D200" s="61">
        <v>16</v>
      </c>
      <c r="E200" s="61">
        <v>11</v>
      </c>
      <c r="F200" s="61">
        <v>9</v>
      </c>
      <c r="G200" s="61">
        <v>7</v>
      </c>
      <c r="H200" s="61">
        <v>0</v>
      </c>
      <c r="I200" s="61">
        <v>9</v>
      </c>
      <c r="J200" s="61">
        <v>2</v>
      </c>
      <c r="K200" s="61">
        <v>0</v>
      </c>
    </row>
    <row r="201" spans="1:11" x14ac:dyDescent="0.15">
      <c r="A201" s="60" t="s">
        <v>537</v>
      </c>
      <c r="B201" s="61" t="s">
        <v>538</v>
      </c>
      <c r="C201" s="61">
        <v>15</v>
      </c>
      <c r="D201" s="61">
        <v>11</v>
      </c>
      <c r="E201" s="61">
        <v>4</v>
      </c>
      <c r="F201" s="61">
        <v>11</v>
      </c>
      <c r="G201" s="61">
        <v>0</v>
      </c>
      <c r="H201" s="61">
        <v>0</v>
      </c>
      <c r="I201" s="61">
        <v>4</v>
      </c>
      <c r="J201" s="61">
        <v>0</v>
      </c>
      <c r="K201" s="61">
        <v>0</v>
      </c>
    </row>
    <row r="202" spans="1:11" x14ac:dyDescent="0.15">
      <c r="A202" s="60" t="s">
        <v>539</v>
      </c>
      <c r="B202" s="61" t="s">
        <v>540</v>
      </c>
      <c r="C202" s="61">
        <v>71</v>
      </c>
      <c r="D202" s="61">
        <v>0</v>
      </c>
      <c r="E202" s="61">
        <v>71</v>
      </c>
      <c r="F202" s="61">
        <v>0</v>
      </c>
      <c r="G202" s="61">
        <v>0</v>
      </c>
      <c r="H202" s="61">
        <v>0</v>
      </c>
      <c r="I202" s="61">
        <v>19</v>
      </c>
      <c r="J202" s="61">
        <v>39</v>
      </c>
      <c r="K202" s="61">
        <v>13</v>
      </c>
    </row>
    <row r="203" spans="1:11" x14ac:dyDescent="0.15">
      <c r="A203" s="60" t="s">
        <v>148</v>
      </c>
      <c r="B203" s="61" t="s">
        <v>541</v>
      </c>
      <c r="C203" s="61">
        <v>40</v>
      </c>
      <c r="D203" s="61">
        <v>10</v>
      </c>
      <c r="E203" s="61">
        <v>30</v>
      </c>
      <c r="F203" s="61">
        <v>4</v>
      </c>
      <c r="G203" s="61">
        <v>6</v>
      </c>
      <c r="H203" s="61">
        <v>0</v>
      </c>
      <c r="I203" s="61">
        <v>10</v>
      </c>
      <c r="J203" s="61">
        <v>20</v>
      </c>
      <c r="K203" s="61">
        <v>0</v>
      </c>
    </row>
    <row r="204" spans="1:11" x14ac:dyDescent="0.15">
      <c r="A204" s="60" t="s">
        <v>154</v>
      </c>
      <c r="B204" s="61" t="s">
        <v>542</v>
      </c>
      <c r="C204" s="61">
        <v>12</v>
      </c>
      <c r="D204" s="61">
        <v>11</v>
      </c>
      <c r="E204" s="61">
        <v>1</v>
      </c>
      <c r="F204" s="61">
        <v>10</v>
      </c>
      <c r="G204" s="61">
        <v>1</v>
      </c>
      <c r="H204" s="61">
        <v>0</v>
      </c>
      <c r="I204" s="61">
        <v>0</v>
      </c>
      <c r="J204" s="61">
        <v>1</v>
      </c>
      <c r="K204" s="61">
        <v>0</v>
      </c>
    </row>
    <row r="205" spans="1:11" x14ac:dyDescent="0.15">
      <c r="A205" s="60" t="s">
        <v>543</v>
      </c>
      <c r="B205" s="61" t="s">
        <v>544</v>
      </c>
      <c r="C205" s="61">
        <v>4</v>
      </c>
      <c r="D205" s="61">
        <v>3</v>
      </c>
      <c r="E205" s="61">
        <v>1</v>
      </c>
      <c r="F205" s="61">
        <v>3</v>
      </c>
      <c r="G205" s="61">
        <v>0</v>
      </c>
      <c r="H205" s="61">
        <v>0</v>
      </c>
      <c r="I205" s="61">
        <v>1</v>
      </c>
      <c r="J205" s="61">
        <v>0</v>
      </c>
      <c r="K205" s="61">
        <v>0</v>
      </c>
    </row>
    <row r="206" spans="1:11" x14ac:dyDescent="0.15">
      <c r="A206" s="60" t="s">
        <v>545</v>
      </c>
      <c r="B206" s="61" t="s">
        <v>546</v>
      </c>
      <c r="C206" s="61">
        <v>71</v>
      </c>
      <c r="D206" s="61">
        <v>61</v>
      </c>
      <c r="E206" s="61">
        <v>10</v>
      </c>
      <c r="F206" s="61">
        <v>14</v>
      </c>
      <c r="G206" s="61">
        <v>47</v>
      </c>
      <c r="H206" s="61">
        <v>0</v>
      </c>
      <c r="I206" s="61">
        <v>0</v>
      </c>
      <c r="J206" s="61">
        <v>0</v>
      </c>
      <c r="K206" s="61">
        <v>10</v>
      </c>
    </row>
    <row r="207" spans="1:11" x14ac:dyDescent="0.15">
      <c r="A207" s="60" t="s">
        <v>149</v>
      </c>
      <c r="B207" s="61" t="s">
        <v>547</v>
      </c>
      <c r="C207" s="61">
        <v>31</v>
      </c>
      <c r="D207" s="61">
        <v>7</v>
      </c>
      <c r="E207" s="61">
        <v>24</v>
      </c>
      <c r="F207" s="61">
        <v>5</v>
      </c>
      <c r="G207" s="61">
        <v>0</v>
      </c>
      <c r="H207" s="61">
        <v>2</v>
      </c>
      <c r="I207" s="61">
        <v>7</v>
      </c>
      <c r="J207" s="61">
        <v>6</v>
      </c>
      <c r="K207" s="61">
        <v>11</v>
      </c>
    </row>
    <row r="208" spans="1:11" x14ac:dyDescent="0.15">
      <c r="A208" s="60" t="s">
        <v>548</v>
      </c>
      <c r="B208" s="61" t="s">
        <v>549</v>
      </c>
      <c r="C208" s="61">
        <v>19</v>
      </c>
      <c r="D208" s="61">
        <v>14</v>
      </c>
      <c r="E208" s="61">
        <v>5</v>
      </c>
      <c r="F208" s="61">
        <v>14</v>
      </c>
      <c r="G208" s="61">
        <v>0</v>
      </c>
      <c r="H208" s="61">
        <v>0</v>
      </c>
      <c r="I208" s="61">
        <v>1</v>
      </c>
      <c r="J208" s="61">
        <v>4</v>
      </c>
      <c r="K208" s="61">
        <v>0</v>
      </c>
    </row>
    <row r="209" spans="1:11" x14ac:dyDescent="0.15">
      <c r="A209" s="60" t="s">
        <v>550</v>
      </c>
      <c r="B209" s="61" t="s">
        <v>551</v>
      </c>
      <c r="C209" s="61">
        <v>28</v>
      </c>
      <c r="D209" s="61">
        <v>15</v>
      </c>
      <c r="E209" s="61">
        <v>13</v>
      </c>
      <c r="F209" s="61">
        <v>6</v>
      </c>
      <c r="G209" s="61">
        <v>9</v>
      </c>
      <c r="H209" s="61">
        <v>0</v>
      </c>
      <c r="I209" s="61">
        <v>9</v>
      </c>
      <c r="J209" s="61">
        <v>3</v>
      </c>
      <c r="K209" s="61">
        <v>1</v>
      </c>
    </row>
    <row r="210" spans="1:11" x14ac:dyDescent="0.15">
      <c r="A210" s="60" t="s">
        <v>552</v>
      </c>
      <c r="B210" s="61" t="s">
        <v>553</v>
      </c>
      <c r="C210" s="61">
        <v>44</v>
      </c>
      <c r="D210" s="61">
        <v>34</v>
      </c>
      <c r="E210" s="61">
        <v>10</v>
      </c>
      <c r="F210" s="61">
        <v>15</v>
      </c>
      <c r="G210" s="61">
        <v>19</v>
      </c>
      <c r="H210" s="61">
        <v>0</v>
      </c>
      <c r="I210" s="61">
        <v>0</v>
      </c>
      <c r="J210" s="61">
        <v>9</v>
      </c>
      <c r="K210" s="61">
        <v>1</v>
      </c>
    </row>
    <row r="211" spans="1:11" x14ac:dyDescent="0.15">
      <c r="A211" s="60" t="s">
        <v>554</v>
      </c>
      <c r="B211" s="61" t="s">
        <v>555</v>
      </c>
      <c r="C211" s="61">
        <v>23</v>
      </c>
      <c r="D211" s="61">
        <v>23</v>
      </c>
      <c r="E211" s="61">
        <v>0</v>
      </c>
      <c r="F211" s="61">
        <v>18</v>
      </c>
      <c r="G211" s="61">
        <v>5</v>
      </c>
      <c r="H211" s="61">
        <v>0</v>
      </c>
      <c r="I211" s="61">
        <v>0</v>
      </c>
      <c r="J211" s="61">
        <v>0</v>
      </c>
      <c r="K211" s="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DATA</vt:lpstr>
      <vt:lpstr>Feuil2</vt:lpstr>
      <vt:lpstr>Infos</vt:lpstr>
      <vt:lpstr>NOMENCLATURE</vt:lpstr>
      <vt:lpstr>Feuil6</vt:lpstr>
      <vt:lpstr>&gt;GINI EXPORT</vt:lpstr>
      <vt:lpstr>Feuil3</vt:lpstr>
      <vt:lpstr>Feuil1</vt:lpstr>
      <vt:lpstr>Feuil4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AsposeTotal</dc:creator>
  <dc:description>[CALLING ASSEMBLY: NDE3, Version=9.19.2023.1, Culture=neutral, PublicKeyToken=null  [VERSIONS: AsposeTotal::2.14.2023.1, Orchestrator::8.2.2023.1]</dc:description>
  <cp:lastModifiedBy>NOEL Baptiste</cp:lastModifiedBy>
  <dcterms:created xsi:type="dcterms:W3CDTF">2026-01-18T01:35:14Z</dcterms:created>
  <dcterms:modified xsi:type="dcterms:W3CDTF">2026-03-16T19:25:39Z</dcterms:modified>
</cp:coreProperties>
</file>